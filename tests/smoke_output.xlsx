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자재피아기본견적" sheetId="1" state="visible" r:id="rId1"/>
    <sheet xmlns:r="http://schemas.openxmlformats.org/officeDocument/2006/relationships" name="거성" sheetId="2" state="visible" r:id="rId2"/>
    <sheet xmlns:r="http://schemas.openxmlformats.org/officeDocument/2006/relationships" name="해광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yyyy&quot;년&quot;\ m&quot;월&quot;\ d&quot;일&quot;;@"/>
    <numFmt numFmtId="166" formatCode="[DBNum4][$-412]General"/>
    <numFmt numFmtId="167" formatCode="_-&quot;₩&quot;* #,##0_-;\-&quot;₩&quot;* #,##0_-;_-&quot;₩&quot;* &quot;-&quot;_-;_-@_-"/>
    <numFmt numFmtId="168" formatCode="_-* #,##0_-;\-* #,##0_-;_-* &quot;-&quot;?_-;_-@_-"/>
  </numFmts>
  <fonts count="3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굴림"/>
      <charset val="129"/>
      <family val="3"/>
      <i val="1"/>
      <color rgb="FF000000"/>
      <sz val="11"/>
      <u val="single"/>
    </font>
    <font>
      <name val="굴림"/>
      <charset val="129"/>
      <family val="3"/>
      <b val="1"/>
      <color rgb="FF000000"/>
      <sz val="18"/>
    </font>
    <font>
      <name val="굴림"/>
      <charset val="129"/>
      <family val="3"/>
      <color rgb="FF000000"/>
      <sz val="18"/>
    </font>
    <font>
      <name val="굴림"/>
      <charset val="129"/>
      <family val="3"/>
      <color rgb="FF000000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b val="1"/>
      <color rgb="FF000000"/>
      <sz val="11"/>
    </font>
    <font>
      <name val="맑은 고딕"/>
      <charset val="129"/>
      <family val="2"/>
      <sz val="8"/>
      <scheme val="minor"/>
    </font>
    <font>
      <name val="굴림"/>
      <charset val="129"/>
      <family val="3"/>
      <color rgb="FF000000"/>
      <sz val="9"/>
    </font>
    <font>
      <name val="굴림"/>
      <charset val="129"/>
      <family val="3"/>
      <color rgb="FF000000"/>
      <sz val="8"/>
    </font>
    <font>
      <name val="맑은 고딕"/>
      <family val="2"/>
      <color indexed="8"/>
      <sz val="11"/>
      <scheme val="minor"/>
    </font>
    <font>
      <name val="Arial"/>
      <family val="2"/>
      <sz val="10"/>
    </font>
    <font>
      <name val="맑은 고딕"/>
      <charset val="129"/>
      <family val="2"/>
      <color theme="1"/>
      <sz val="11"/>
      <scheme val="minor"/>
    </font>
    <font>
      <name val="-윤고딕360"/>
      <charset val="129"/>
      <family val="1"/>
      <color indexed="8"/>
      <sz val="36"/>
    </font>
    <font>
      <name val="맑은 고딕"/>
      <charset val="129"/>
      <family val="3"/>
      <b val="1"/>
      <color indexed="8"/>
      <sz val="12"/>
    </font>
    <font>
      <name val="맑은 고딕"/>
      <charset val="129"/>
      <family val="3"/>
      <b val="1"/>
      <color indexed="8"/>
      <sz val="16"/>
    </font>
    <font>
      <name val="맑은 고딕"/>
      <charset val="129"/>
      <family val="3"/>
      <b val="1"/>
      <color indexed="8"/>
      <sz val="18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color indexed="8"/>
      <sz val="9"/>
    </font>
    <font>
      <name val="맑은 고딕"/>
      <charset val="129"/>
      <family val="3"/>
      <color indexed="8"/>
      <sz val="12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b val="1"/>
      <color theme="1"/>
      <sz val="18"/>
      <scheme val="minor"/>
    </font>
    <font>
      <name val="굴림"/>
      <charset val="129"/>
      <family val="3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2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13" fillId="0" borderId="0" applyAlignment="1">
      <alignment vertical="center"/>
    </xf>
    <xf numFmtId="0" fontId="11" fillId="0" borderId="0" applyAlignment="1">
      <alignment vertical="center"/>
    </xf>
    <xf numFmtId="41" fontId="13" fillId="0" borderId="0" applyAlignment="1">
      <alignment vertical="center"/>
    </xf>
    <xf numFmtId="0" fontId="30" fillId="0" borderId="0" applyAlignment="1" applyProtection="1">
      <alignment vertical="top"/>
      <protection locked="0" hidden="0"/>
    </xf>
  </cellStyleXfs>
  <cellXfs count="323">
    <xf numFmtId="0" fontId="0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justify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7" fillId="0" borderId="27" applyAlignment="1" pivotButton="0" quotePrefix="0" xfId="0">
      <alignment horizontal="center" vertical="center" wrapText="1"/>
    </xf>
    <xf numFmtId="0" fontId="5" fillId="0" borderId="21" applyAlignment="1" pivotButton="0" quotePrefix="0" xfId="0">
      <alignment vertical="center" wrapText="1"/>
    </xf>
    <xf numFmtId="0" fontId="5" fillId="0" borderId="22" applyAlignment="1" pivotButton="0" quotePrefix="0" xfId="0">
      <alignment vertical="center" wrapText="1"/>
    </xf>
    <xf numFmtId="0" fontId="7" fillId="0" borderId="3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7" fillId="0" borderId="14" applyAlignment="1" pivotButton="0" quotePrefix="0" xfId="0">
      <alignment vertical="center" wrapText="1"/>
    </xf>
    <xf numFmtId="164" fontId="6" fillId="0" borderId="14" applyAlignment="1" pivotButton="0" quotePrefix="0" xfId="0">
      <alignment horizontal="right" vertical="center" wrapText="1"/>
    </xf>
    <xf numFmtId="0" fontId="6" fillId="0" borderId="17" applyAlignment="1" pivotButton="0" quotePrefix="0" xfId="0">
      <alignment horizontal="justify" vertical="center" wrapText="1"/>
    </xf>
    <xf numFmtId="0" fontId="5" fillId="0" borderId="14" applyAlignment="1" pivotButton="0" quotePrefix="0" xfId="0">
      <alignment horizontal="center" vertical="center" wrapText="1" shrinkToFit="1"/>
    </xf>
    <xf numFmtId="0" fontId="7" fillId="0" borderId="33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16" fillId="0" borderId="0" applyAlignment="1" pivotButton="0" quotePrefix="0" xfId="0">
      <alignment horizontal="center" vertical="center"/>
    </xf>
    <xf numFmtId="49" fontId="17" fillId="0" borderId="0" applyAlignment="1" pivotButton="0" quotePrefix="0" xfId="0">
      <alignment vertical="center"/>
    </xf>
    <xf numFmtId="49" fontId="20" fillId="0" borderId="0" applyAlignment="1" pivotButton="0" quotePrefix="0" xfId="0">
      <alignment horizontal="left" vertical="center"/>
    </xf>
    <xf numFmtId="49" fontId="15" fillId="0" borderId="0" applyAlignment="1" pivotButton="0" quotePrefix="0" xfId="0">
      <alignment vertical="center"/>
    </xf>
    <xf numFmtId="49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vertical="center"/>
    </xf>
    <xf numFmtId="49" fontId="25" fillId="3" borderId="38" applyAlignment="1" pivotButton="0" quotePrefix="0" xfId="0">
      <alignment vertical="center"/>
    </xf>
    <xf numFmtId="49" fontId="25" fillId="3" borderId="45" applyAlignment="1" pivotButton="0" quotePrefix="0" xfId="0">
      <alignment vertical="center"/>
    </xf>
    <xf numFmtId="49" fontId="25" fillId="3" borderId="43" applyAlignment="1" pivotButton="0" quotePrefix="0" xfId="0">
      <alignment vertical="center"/>
    </xf>
    <xf numFmtId="49" fontId="26" fillId="0" borderId="0" applyAlignment="1" pivotButton="0" quotePrefix="0" xfId="0">
      <alignment horizontal="left" vertical="center"/>
    </xf>
    <xf numFmtId="49" fontId="0" fillId="0" borderId="68" applyAlignment="1" pivotButton="0" quotePrefix="0" xfId="0">
      <alignment vertical="center"/>
    </xf>
    <xf numFmtId="49" fontId="0" fillId="0" borderId="69" applyAlignment="1" pivotButton="0" quotePrefix="0" xfId="0">
      <alignment vertical="center"/>
    </xf>
    <xf numFmtId="49" fontId="0" fillId="0" borderId="7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49" fontId="26" fillId="0" borderId="0" applyAlignment="1" pivotButton="0" quotePrefix="0" xfId="0">
      <alignment vertical="center"/>
    </xf>
    <xf numFmtId="49" fontId="27" fillId="0" borderId="0" applyAlignment="1" pivotButton="0" quotePrefix="0" xfId="0">
      <alignment vertical="center"/>
    </xf>
    <xf numFmtId="49" fontId="28" fillId="0" borderId="73" applyAlignment="1" pivotButton="0" quotePrefix="0" xfId="0">
      <alignment vertical="center"/>
    </xf>
    <xf numFmtId="49" fontId="28" fillId="0" borderId="74" applyAlignment="1" pivotButton="0" quotePrefix="0" xfId="0">
      <alignment vertical="center"/>
    </xf>
    <xf numFmtId="49" fontId="21" fillId="3" borderId="39" applyAlignment="1" pivotButton="0" quotePrefix="0" xfId="0">
      <alignment vertical="center"/>
    </xf>
    <xf numFmtId="49" fontId="21" fillId="3" borderId="40" applyAlignment="1" pivotButton="0" quotePrefix="0" xfId="0">
      <alignment vertical="center"/>
    </xf>
    <xf numFmtId="49" fontId="28" fillId="0" borderId="0" applyAlignment="1" pivotButton="0" quotePrefix="0" xfId="0">
      <alignment vertical="center"/>
    </xf>
    <xf numFmtId="49" fontId="0" fillId="0" borderId="75" applyAlignment="1" pivotButton="0" quotePrefix="0" xfId="0">
      <alignment vertical="center"/>
    </xf>
    <xf numFmtId="49" fontId="29" fillId="0" borderId="48" applyAlignment="1" pivotButton="0" quotePrefix="0" xfId="0">
      <alignment horizontal="center" vertical="center"/>
    </xf>
    <xf numFmtId="49" fontId="23" fillId="0" borderId="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center"/>
    </xf>
    <xf numFmtId="164" fontId="26" fillId="0" borderId="32" applyAlignment="1" pivotButton="0" quotePrefix="0" xfId="2">
      <alignment horizontal="center" vertical="center" shrinkToFit="1"/>
    </xf>
    <xf numFmtId="0" fontId="32" fillId="0" borderId="0" applyAlignment="1" pivotButton="0" quotePrefix="0" xfId="0">
      <alignment vertical="center"/>
    </xf>
    <xf numFmtId="0" fontId="12" fillId="0" borderId="34" applyAlignment="1" pivotButton="0" quotePrefix="0" xfId="0">
      <alignment horizontal="left" vertical="center"/>
    </xf>
    <xf numFmtId="3" fontId="12" fillId="0" borderId="34" applyAlignment="1" pivotButton="0" quotePrefix="0" xfId="0">
      <alignment horizontal="center" vertical="center"/>
    </xf>
    <xf numFmtId="3" fontId="12" fillId="0" borderId="34" applyAlignment="1" pivotButton="0" quotePrefix="0" xfId="0">
      <alignment horizontal="right" vertical="center"/>
    </xf>
    <xf numFmtId="0" fontId="5" fillId="0" borderId="93" applyAlignment="1" pivotButton="0" quotePrefix="0" xfId="0">
      <alignment horizontal="center" vertical="center" wrapText="1"/>
    </xf>
    <xf numFmtId="0" fontId="5" fillId="0" borderId="94" applyAlignment="1" pivotButton="0" quotePrefix="0" xfId="0">
      <alignment horizontal="center" vertical="center" wrapText="1"/>
    </xf>
    <xf numFmtId="0" fontId="5" fillId="0" borderId="95" applyAlignment="1" pivotButton="0" quotePrefix="0" xfId="0">
      <alignment horizontal="center" vertical="center" wrapText="1"/>
    </xf>
    <xf numFmtId="164" fontId="5" fillId="0" borderId="14" applyAlignment="1" pivotButton="0" quotePrefix="0" xfId="2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justify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justify" vertical="center" wrapText="1"/>
    </xf>
    <xf numFmtId="0" fontId="1" fillId="0" borderId="22" applyAlignment="1" pivotButton="0" quotePrefix="0" xfId="0">
      <alignment horizontal="justify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justify" vertical="center" wrapText="1"/>
    </xf>
    <xf numFmtId="0" fontId="5" fillId="0" borderId="5" applyAlignment="1" pivotButton="0" quotePrefix="0" xfId="0">
      <alignment horizontal="justify" vertical="center" wrapText="1"/>
    </xf>
    <xf numFmtId="0" fontId="5" fillId="0" borderId="7" applyAlignment="1" pivotButton="0" quotePrefix="0" xfId="0">
      <alignment horizontal="justify" vertical="center" wrapText="1"/>
    </xf>
    <xf numFmtId="0" fontId="5" fillId="0" borderId="22" applyAlignment="1" pivotButton="0" quotePrefix="0" xfId="0">
      <alignment horizontal="justify" vertical="center" wrapText="1"/>
    </xf>
    <xf numFmtId="0" fontId="5" fillId="0" borderId="8" applyAlignment="1" pivotButton="0" quotePrefix="0" xfId="0">
      <alignment horizontal="justify" vertical="center" wrapText="1"/>
    </xf>
    <xf numFmtId="164" fontId="5" fillId="0" borderId="15" applyAlignment="1" pivotButton="0" quotePrefix="0" xfId="0">
      <alignment horizontal="right" vertical="center" wrapText="1"/>
    </xf>
    <xf numFmtId="164" fontId="5" fillId="0" borderId="16" applyAlignment="1" pivotButton="0" quotePrefix="0" xfId="0">
      <alignment horizontal="right" vertical="center" wrapText="1"/>
    </xf>
    <xf numFmtId="0" fontId="5" fillId="0" borderId="29" applyAlignment="1" pivotButton="0" quotePrefix="0" xfId="0">
      <alignment horizontal="justify" vertical="center" wrapText="1"/>
    </xf>
    <xf numFmtId="0" fontId="5" fillId="0" borderId="21" applyAlignment="1" pivotButton="0" quotePrefix="0" xfId="0">
      <alignment horizontal="justify" vertical="center" wrapText="1"/>
    </xf>
    <xf numFmtId="0" fontId="5" fillId="0" borderId="30" applyAlignment="1" pivotButton="0" quotePrefix="0" xfId="0">
      <alignment horizontal="justify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166" fontId="7" fillId="0" borderId="27" applyAlignment="1" pivotButton="0" quotePrefix="0" xfId="0">
      <alignment horizontal="center" vertical="center" wrapText="1"/>
    </xf>
    <xf numFmtId="167" fontId="7" fillId="0" borderId="27" applyAlignment="1" pivotButton="0" quotePrefix="0" xfId="0">
      <alignment horizontal="center" vertical="center" wrapText="1"/>
    </xf>
    <xf numFmtId="167" fontId="7" fillId="0" borderId="28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6" fillId="0" borderId="96" applyAlignment="1" pivotButton="0" quotePrefix="0" xfId="0">
      <alignment horizontal="center" vertical="center" shrinkToFit="1"/>
    </xf>
    <xf numFmtId="0" fontId="6" fillId="0" borderId="21" applyAlignment="1" pivotButton="0" quotePrefix="0" xfId="0">
      <alignment horizontal="center" vertical="center" shrinkToFit="1"/>
    </xf>
    <xf numFmtId="0" fontId="6" fillId="0" borderId="97" applyAlignment="1" pivotButton="0" quotePrefix="0" xfId="0">
      <alignment horizontal="center" vertical="center" shrinkToFit="1"/>
    </xf>
    <xf numFmtId="0" fontId="7" fillId="0" borderId="33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49" fontId="14" fillId="0" borderId="0" applyAlignment="1" pivotButton="0" quotePrefix="0" xfId="0">
      <alignment horizontal="center" vertical="top"/>
    </xf>
    <xf numFmtId="49" fontId="15" fillId="2" borderId="38" applyAlignment="1" pivotButton="0" quotePrefix="0" xfId="0">
      <alignment horizontal="center" vertical="center" textRotation="255"/>
    </xf>
    <xf numFmtId="49" fontId="15" fillId="2" borderId="47" applyAlignment="1" pivotButton="0" quotePrefix="0" xfId="0">
      <alignment horizontal="center" vertical="center" textRotation="255"/>
    </xf>
    <xf numFmtId="49" fontId="15" fillId="2" borderId="55" applyAlignment="1" pivotButton="0" quotePrefix="0" xfId="0">
      <alignment horizontal="center" vertical="center" textRotation="255"/>
    </xf>
    <xf numFmtId="49" fontId="15" fillId="2" borderId="39" applyAlignment="1" pivotButton="0" quotePrefix="0" xfId="0">
      <alignment horizontal="center" vertical="center"/>
    </xf>
    <xf numFmtId="49" fontId="15" fillId="2" borderId="40" applyAlignment="1" pivotButton="0" quotePrefix="0" xfId="0">
      <alignment horizontal="center" vertical="center"/>
    </xf>
    <xf numFmtId="49" fontId="15" fillId="2" borderId="48" applyAlignment="1" pivotButton="0" quotePrefix="0" xfId="0">
      <alignment horizontal="center" vertical="center"/>
    </xf>
    <xf numFmtId="49" fontId="15" fillId="2" borderId="32" applyAlignment="1" pivotButton="0" quotePrefix="0" xfId="0">
      <alignment horizontal="center" vertical="center"/>
    </xf>
    <xf numFmtId="49" fontId="15" fillId="0" borderId="40" applyAlignment="1" pivotButton="0" quotePrefix="0" xfId="0">
      <alignment horizontal="center" vertical="center" shrinkToFit="1"/>
    </xf>
    <xf numFmtId="49" fontId="15" fillId="0" borderId="41" applyAlignment="1" pivotButton="0" quotePrefix="0" xfId="0">
      <alignment horizontal="center" vertical="center" shrinkToFit="1"/>
    </xf>
    <xf numFmtId="49" fontId="15" fillId="0" borderId="32" applyAlignment="1" pivotButton="0" quotePrefix="0" xfId="0">
      <alignment horizontal="center" vertical="center" shrinkToFit="1"/>
    </xf>
    <xf numFmtId="49" fontId="15" fillId="0" borderId="49" applyAlignment="1" pivotButton="0" quotePrefix="0" xfId="0">
      <alignment horizontal="center" vertical="center" shrinkToFit="1"/>
    </xf>
    <xf numFmtId="49" fontId="15" fillId="2" borderId="42" applyAlignment="1" pivotButton="0" quotePrefix="0" xfId="0">
      <alignment horizontal="center" vertical="center" textRotation="255"/>
    </xf>
    <xf numFmtId="49" fontId="15" fillId="2" borderId="50" applyAlignment="1" pivotButton="0" quotePrefix="0" xfId="0">
      <alignment horizontal="center" vertical="center" textRotation="255"/>
    </xf>
    <xf numFmtId="49" fontId="15" fillId="2" borderId="71" applyAlignment="1" pivotButton="0" quotePrefix="0" xfId="0">
      <alignment horizontal="center" vertical="center" textRotation="255"/>
    </xf>
    <xf numFmtId="49" fontId="15" fillId="2" borderId="43" applyAlignment="1" pivotButton="0" quotePrefix="0" xfId="0">
      <alignment horizontal="center" vertical="center"/>
    </xf>
    <xf numFmtId="49" fontId="18" fillId="0" borderId="44" applyAlignment="1" pivotButton="0" quotePrefix="0" xfId="0">
      <alignment horizontal="center" vertical="center"/>
    </xf>
    <xf numFmtId="49" fontId="18" fillId="0" borderId="45" applyAlignment="1" pivotButton="0" quotePrefix="0" xfId="0">
      <alignment horizontal="center" vertical="center"/>
    </xf>
    <xf numFmtId="49" fontId="18" fillId="0" borderId="46" applyAlignment="1" pivotButton="0" quotePrefix="0" xfId="0">
      <alignment horizontal="center" vertical="center"/>
    </xf>
    <xf numFmtId="49" fontId="15" fillId="2" borderId="51" applyAlignment="1" pivotButton="0" quotePrefix="0" xfId="0">
      <alignment horizontal="center" vertical="center"/>
    </xf>
    <xf numFmtId="49" fontId="15" fillId="0" borderId="52" applyAlignment="1" pivotButton="0" quotePrefix="0" xfId="0">
      <alignment horizontal="right" vertical="center"/>
    </xf>
    <xf numFmtId="49" fontId="15" fillId="0" borderId="53" applyAlignment="1" pivotButton="0" quotePrefix="0" xfId="0">
      <alignment horizontal="right" vertical="center"/>
    </xf>
    <xf numFmtId="49" fontId="19" fillId="0" borderId="53" applyAlignment="1" pivotButton="0" quotePrefix="0" xfId="0">
      <alignment horizontal="center" vertical="center"/>
    </xf>
    <xf numFmtId="49" fontId="19" fillId="0" borderId="54" applyAlignment="1" pivotButton="0" quotePrefix="0" xfId="0">
      <alignment horizontal="center" vertical="center"/>
    </xf>
    <xf numFmtId="49" fontId="15" fillId="2" borderId="56" applyAlignment="1" pivotButton="0" quotePrefix="0" xfId="0">
      <alignment horizontal="center" vertical="center"/>
    </xf>
    <xf numFmtId="49" fontId="15" fillId="2" borderId="57" applyAlignment="1" pivotButton="0" quotePrefix="0" xfId="0">
      <alignment horizontal="center" vertical="center"/>
    </xf>
    <xf numFmtId="49" fontId="23" fillId="0" borderId="57" applyAlignment="1" pivotButton="0" quotePrefix="0" xfId="0">
      <alignment horizontal="center" vertical="center"/>
    </xf>
    <xf numFmtId="49" fontId="23" fillId="0" borderId="58" applyAlignment="1" pivotButton="0" quotePrefix="0" xfId="0">
      <alignment horizontal="center" vertical="center"/>
    </xf>
    <xf numFmtId="49" fontId="24" fillId="0" borderId="32" applyAlignment="1" pivotButton="0" quotePrefix="0" xfId="0">
      <alignment horizontal="center" vertical="center" wrapText="1"/>
    </xf>
    <xf numFmtId="49" fontId="24" fillId="0" borderId="49" applyAlignment="1" pivotButton="0" quotePrefix="0" xfId="0">
      <alignment horizontal="center" vertical="center" wrapText="1"/>
    </xf>
    <xf numFmtId="49" fontId="24" fillId="0" borderId="59" applyAlignment="1" pivotButton="0" quotePrefix="0" xfId="0">
      <alignment horizontal="center" vertical="center" wrapText="1"/>
    </xf>
    <xf numFmtId="49" fontId="24" fillId="0" borderId="60" applyAlignment="1" pivotButton="0" quotePrefix="0" xfId="0">
      <alignment horizontal="center" vertical="center" wrapText="1"/>
    </xf>
    <xf numFmtId="49" fontId="24" fillId="0" borderId="61" applyAlignment="1" pivotButton="0" quotePrefix="0" xfId="0">
      <alignment horizontal="center" vertical="center" wrapText="1"/>
    </xf>
    <xf numFmtId="49" fontId="24" fillId="0" borderId="62" applyAlignment="1" pivotButton="0" quotePrefix="0" xfId="0">
      <alignment horizontal="center" vertical="center" wrapText="1"/>
    </xf>
    <xf numFmtId="49" fontId="24" fillId="0" borderId="63" applyAlignment="1" pivotButton="0" quotePrefix="0" xfId="0">
      <alignment horizontal="center" vertical="center" wrapText="1"/>
    </xf>
    <xf numFmtId="49" fontId="24" fillId="0" borderId="64" applyAlignment="1" pivotButton="0" quotePrefix="0" xfId="0">
      <alignment horizontal="center" vertical="center" wrapText="1"/>
    </xf>
    <xf numFmtId="14" fontId="26" fillId="0" borderId="44" applyAlignment="1" pivotButton="0" quotePrefix="0" xfId="0">
      <alignment horizontal="left" vertical="center"/>
    </xf>
    <xf numFmtId="14" fontId="26" fillId="0" borderId="45" applyAlignment="1" pivotButton="0" quotePrefix="0" xfId="0">
      <alignment horizontal="left" vertical="center"/>
    </xf>
    <xf numFmtId="14" fontId="26" fillId="0" borderId="46" applyAlignment="1" pivotButton="0" quotePrefix="0" xfId="0">
      <alignment horizontal="left" vertical="center"/>
    </xf>
    <xf numFmtId="49" fontId="20" fillId="0" borderId="32" applyAlignment="1" pivotButton="0" quotePrefix="0" xfId="0">
      <alignment horizontal="center" vertical="center"/>
    </xf>
    <xf numFmtId="49" fontId="20" fillId="0" borderId="49" applyAlignment="1" pivotButton="0" quotePrefix="0" xfId="0">
      <alignment horizontal="center" vertical="center"/>
    </xf>
    <xf numFmtId="49" fontId="21" fillId="0" borderId="32" applyAlignment="1" pivotButton="0" quotePrefix="0" xfId="0">
      <alignment horizontal="center" vertical="center"/>
    </xf>
    <xf numFmtId="49" fontId="21" fillId="0" borderId="52" applyAlignment="1" pivotButton="0" quotePrefix="0" xfId="0">
      <alignment horizontal="center" vertical="center"/>
    </xf>
    <xf numFmtId="49" fontId="21" fillId="0" borderId="49" applyAlignment="1" pivotButton="0" quotePrefix="0" xfId="0">
      <alignment horizontal="center" vertical="center"/>
    </xf>
    <xf numFmtId="49" fontId="23" fillId="0" borderId="32" applyAlignment="1" pivotButton="0" quotePrefix="0" xfId="0">
      <alignment horizontal="center" vertical="center"/>
    </xf>
    <xf numFmtId="49" fontId="23" fillId="0" borderId="49" applyAlignment="1" pivotButton="0" quotePrefix="0" xfId="0">
      <alignment horizontal="center" vertical="center"/>
    </xf>
    <xf numFmtId="49" fontId="21" fillId="3" borderId="40" applyAlignment="1" pivotButton="0" quotePrefix="0" xfId="0">
      <alignment horizontal="center" vertical="center"/>
    </xf>
    <xf numFmtId="49" fontId="21" fillId="3" borderId="41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 shrinkToFit="1"/>
    </xf>
    <xf numFmtId="164" fontId="26" fillId="0" borderId="32" applyAlignment="1" pivotButton="0" quotePrefix="0" xfId="2">
      <alignment horizontal="right" vertical="center"/>
    </xf>
    <xf numFmtId="49" fontId="27" fillId="0" borderId="32" applyAlignment="1" pivotButton="0" quotePrefix="0" xfId="0">
      <alignment horizontal="left" vertical="center" shrinkToFit="1"/>
    </xf>
    <xf numFmtId="49" fontId="27" fillId="0" borderId="49" applyAlignment="1" pivotButton="0" quotePrefix="0" xfId="0">
      <alignment horizontal="left" vertical="center" shrinkToFit="1"/>
    </xf>
    <xf numFmtId="49" fontId="21" fillId="3" borderId="44" applyAlignment="1" pivotButton="0" quotePrefix="0" xfId="0">
      <alignment horizontal="center" vertical="center"/>
    </xf>
    <xf numFmtId="49" fontId="21" fillId="3" borderId="45" applyAlignment="1" pivotButton="0" quotePrefix="0" xfId="0">
      <alignment horizontal="center" vertical="center"/>
    </xf>
    <xf numFmtId="49" fontId="21" fillId="3" borderId="43" applyAlignment="1" pivotButton="0" quotePrefix="0" xfId="0">
      <alignment horizontal="center" vertical="center"/>
    </xf>
    <xf numFmtId="49" fontId="25" fillId="3" borderId="65" applyAlignment="1" pivotButton="0" quotePrefix="0" xfId="0">
      <alignment horizontal="center" vertical="center"/>
    </xf>
    <xf numFmtId="49" fontId="25" fillId="3" borderId="66" applyAlignment="1" pivotButton="0" quotePrefix="0" xfId="0">
      <alignment horizontal="center" vertical="center"/>
    </xf>
    <xf numFmtId="49" fontId="25" fillId="3" borderId="67" applyAlignment="1" pivotButton="0" quotePrefix="0" xfId="0">
      <alignment horizontal="center" vertical="center"/>
    </xf>
    <xf numFmtId="49" fontId="15" fillId="3" borderId="72" applyAlignment="1" pivotButton="0" quotePrefix="0" xfId="0">
      <alignment horizontal="center" vertical="center"/>
    </xf>
    <xf numFmtId="49" fontId="15" fillId="3" borderId="57" applyAlignment="1" pivotButton="0" quotePrefix="0" xfId="0">
      <alignment horizontal="center" vertical="center"/>
    </xf>
    <xf numFmtId="49" fontId="23" fillId="3" borderId="68" applyAlignment="1" pivotButton="0" quotePrefix="0" xfId="0">
      <alignment horizontal="right" vertical="center"/>
    </xf>
    <xf numFmtId="49" fontId="23" fillId="3" borderId="69" applyAlignment="1" pivotButton="0" quotePrefix="0" xfId="0">
      <alignment horizontal="right" vertical="center"/>
    </xf>
    <xf numFmtId="0" fontId="25" fillId="3" borderId="69" applyAlignment="1" pivotButton="0" quotePrefix="0" xfId="0">
      <alignment horizontal="left" vertical="center"/>
    </xf>
    <xf numFmtId="0" fontId="0" fillId="3" borderId="69" applyAlignment="1" pivotButton="0" quotePrefix="0" xfId="0">
      <alignment horizontal="left" vertical="center"/>
    </xf>
    <xf numFmtId="0" fontId="0" fillId="3" borderId="70" applyAlignment="1" pivotButton="0" quotePrefix="0" xfId="0">
      <alignment horizontal="left" vertical="center"/>
    </xf>
    <xf numFmtId="0" fontId="26" fillId="0" borderId="52" applyAlignment="1" pivotButton="0" quotePrefix="0" xfId="0">
      <alignment horizontal="center" vertical="center" shrinkToFit="1"/>
    </xf>
    <xf numFmtId="0" fontId="26" fillId="0" borderId="53" applyAlignment="1" pivotButton="0" quotePrefix="0" xfId="0">
      <alignment horizontal="center" vertical="center" shrinkToFit="1"/>
    </xf>
    <xf numFmtId="0" fontId="26" fillId="0" borderId="51" applyAlignment="1" pivotButton="0" quotePrefix="0" xfId="0">
      <alignment horizontal="center" vertical="center" shrinkToFit="1"/>
    </xf>
    <xf numFmtId="0" fontId="26" fillId="0" borderId="52" applyAlignment="1" pivotButton="0" quotePrefix="0" xfId="0">
      <alignment horizontal="center" vertical="center"/>
    </xf>
    <xf numFmtId="0" fontId="26" fillId="0" borderId="53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49" fontId="18" fillId="2" borderId="81" applyAlignment="1" pivotButton="0" quotePrefix="0" xfId="0">
      <alignment horizontal="center" vertical="center" wrapText="1"/>
    </xf>
    <xf numFmtId="49" fontId="18" fillId="2" borderId="82" applyAlignment="1" pivotButton="0" quotePrefix="0" xfId="0">
      <alignment horizontal="center" vertical="center" wrapText="1"/>
    </xf>
    <xf numFmtId="49" fontId="18" fillId="2" borderId="85" applyAlignment="1" pivotButton="0" quotePrefix="0" xfId="0">
      <alignment horizontal="center" vertical="center" wrapText="1"/>
    </xf>
    <xf numFmtId="49" fontId="18" fillId="2" borderId="86" applyAlignment="1" pivotButton="0" quotePrefix="0" xfId="0">
      <alignment horizontal="center" vertical="center" wrapText="1"/>
    </xf>
    <xf numFmtId="49" fontId="18" fillId="2" borderId="88" applyAlignment="1" pivotButton="0" quotePrefix="0" xfId="0">
      <alignment horizontal="center" vertical="center" wrapText="1"/>
    </xf>
    <xf numFmtId="49" fontId="18" fillId="2" borderId="89" applyAlignment="1" pivotButton="0" quotePrefix="0" xfId="0">
      <alignment horizontal="center" vertical="center" wrapText="1"/>
    </xf>
    <xf numFmtId="49" fontId="0" fillId="0" borderId="83" applyAlignment="1" pivotButton="0" quotePrefix="0" xfId="0">
      <alignment horizontal="center" vertical="center"/>
    </xf>
    <xf numFmtId="49" fontId="0" fillId="0" borderId="84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0" fillId="0" borderId="87" applyAlignment="1" pivotButton="0" quotePrefix="0" xfId="0">
      <alignment horizontal="center" vertical="center"/>
    </xf>
    <xf numFmtId="49" fontId="30" fillId="0" borderId="90" applyAlignment="1" pivotButton="0" quotePrefix="0" xfId="3">
      <alignment horizontal="center" vertical="center"/>
    </xf>
    <xf numFmtId="49" fontId="0" fillId="0" borderId="91" applyAlignment="1" pivotButton="0" quotePrefix="0" xfId="0">
      <alignment horizontal="center" vertical="center"/>
    </xf>
    <xf numFmtId="49" fontId="0" fillId="0" borderId="92" applyAlignment="1" pivotButton="0" quotePrefix="0" xfId="0">
      <alignment horizontal="center" vertical="center"/>
    </xf>
    <xf numFmtId="49" fontId="31" fillId="0" borderId="0" applyAlignment="1" pivotButton="0" quotePrefix="0" xfId="0">
      <alignment horizontal="center" vertical="center"/>
    </xf>
    <xf numFmtId="49" fontId="20" fillId="2" borderId="76" applyAlignment="1" pivotButton="0" quotePrefix="0" xfId="0">
      <alignment horizontal="center" vertical="center"/>
    </xf>
    <xf numFmtId="49" fontId="20" fillId="2" borderId="77" applyAlignment="1" pivotButton="0" quotePrefix="0" xfId="0">
      <alignment horizontal="center" vertical="center"/>
    </xf>
    <xf numFmtId="164" fontId="15" fillId="2" borderId="78" applyAlignment="1" pivotButton="0" quotePrefix="0" xfId="0">
      <alignment horizontal="right" vertical="center"/>
    </xf>
    <xf numFmtId="0" fontId="15" fillId="2" borderId="79" applyAlignment="1" pivotButton="0" quotePrefix="0" xfId="0">
      <alignment horizontal="right" vertical="center"/>
    </xf>
    <xf numFmtId="0" fontId="15" fillId="2" borderId="77" applyAlignment="1" pivotButton="0" quotePrefix="0" xfId="0">
      <alignment horizontal="right" vertical="center"/>
    </xf>
    <xf numFmtId="49" fontId="20" fillId="2" borderId="78" applyAlignment="1" pivotButton="0" quotePrefix="0" xfId="0">
      <alignment horizontal="center" vertical="center"/>
    </xf>
    <xf numFmtId="49" fontId="20" fillId="2" borderId="79" applyAlignment="1" pivotButton="0" quotePrefix="0" xfId="0">
      <alignment horizontal="center" vertical="center"/>
    </xf>
    <xf numFmtId="168" fontId="15" fillId="2" borderId="78" applyAlignment="1" pivotButton="0" quotePrefix="0" xfId="0">
      <alignment horizontal="right" vertical="center"/>
    </xf>
    <xf numFmtId="168" fontId="15" fillId="2" borderId="79" applyAlignment="1" pivotButton="0" quotePrefix="0" xfId="0">
      <alignment horizontal="right" vertical="center"/>
    </xf>
    <xf numFmtId="168" fontId="15" fillId="2" borderId="77" applyAlignment="1" pivotButton="0" quotePrefix="0" xfId="0">
      <alignment horizontal="right" vertical="center"/>
    </xf>
    <xf numFmtId="49" fontId="15" fillId="3" borderId="78" applyAlignment="1" pivotButton="0" quotePrefix="0" xfId="0">
      <alignment horizontal="center" vertical="center"/>
    </xf>
    <xf numFmtId="49" fontId="15" fillId="3" borderId="79" applyAlignment="1" pivotButton="0" quotePrefix="0" xfId="0">
      <alignment horizontal="center" vertical="center"/>
    </xf>
    <xf numFmtId="49" fontId="15" fillId="3" borderId="77" applyAlignment="1" pivotButton="0" quotePrefix="0" xfId="0">
      <alignment horizontal="center" vertical="center"/>
    </xf>
    <xf numFmtId="164" fontId="15" fillId="3" borderId="78" applyAlignment="1" pivotButton="0" quotePrefix="0" xfId="0">
      <alignment horizontal="right" vertical="center"/>
    </xf>
    <xf numFmtId="0" fontId="15" fillId="3" borderId="79" applyAlignment="1" pivotButton="0" quotePrefix="0" xfId="0">
      <alignment horizontal="right" vertical="center"/>
    </xf>
    <xf numFmtId="0" fontId="15" fillId="3" borderId="8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3" fillId="0" borderId="0" pivotButton="0" quotePrefix="0" xfId="0"/>
    <xf numFmtId="0" fontId="0" fillId="0" borderId="0" pivotButton="0" quotePrefix="0" xfId="0"/>
    <xf numFmtId="0" fontId="2" fillId="0" borderId="105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00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100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5" fillId="0" borderId="105" applyAlignment="1" pivotButton="0" quotePrefix="0" xfId="0">
      <alignment horizontal="center" vertical="center" wrapText="1"/>
    </xf>
    <xf numFmtId="0" fontId="5" fillId="0" borderId="10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100" applyAlignment="1" pivotButton="0" quotePrefix="0" xfId="0">
      <alignment horizontal="center" vertical="center" wrapText="1"/>
    </xf>
    <xf numFmtId="0" fontId="0" fillId="0" borderId="16" pivotButton="0" quotePrefix="0" xfId="0"/>
    <xf numFmtId="0" fontId="5" fillId="0" borderId="17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10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7" pivotButton="0" quotePrefix="0" xfId="0"/>
    <xf numFmtId="0" fontId="0" fillId="0" borderId="22" pivotButton="0" quotePrefix="0" xfId="0"/>
    <xf numFmtId="0" fontId="5" fillId="0" borderId="10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0" borderId="103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5" pivotButton="0" quotePrefix="0" xfId="0"/>
    <xf numFmtId="0" fontId="0" fillId="0" borderId="27" pivotButton="0" quotePrefix="0" xfId="0"/>
    <xf numFmtId="166" fontId="7" fillId="0" borderId="27" applyAlignment="1" pivotButton="0" quotePrefix="0" xfId="0">
      <alignment horizontal="center" vertical="center" wrapText="1"/>
    </xf>
    <xf numFmtId="167" fontId="7" fillId="0" borderId="28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7" pivotButton="0" quotePrefix="0" xfId="0"/>
    <xf numFmtId="0" fontId="6" fillId="0" borderId="98" applyAlignment="1" pivotButton="0" quotePrefix="0" xfId="0">
      <alignment horizontal="center" vertical="center" shrinkToFit="1"/>
    </xf>
    <xf numFmtId="0" fontId="0" fillId="0" borderId="97" pivotButton="0" quotePrefix="0" xfId="0"/>
    <xf numFmtId="164" fontId="5" fillId="0" borderId="14" applyAlignment="1" pivotButton="0" quotePrefix="0" xfId="2">
      <alignment horizontal="center" vertical="center" wrapText="1"/>
    </xf>
    <xf numFmtId="164" fontId="5" fillId="0" borderId="14" applyAlignment="1" pivotButton="0" quotePrefix="0" xfId="0">
      <alignment horizontal="right" vertical="center" wrapText="1"/>
    </xf>
    <xf numFmtId="0" fontId="0" fillId="0" borderId="53" pivotButton="0" quotePrefix="0" xfId="0"/>
    <xf numFmtId="0" fontId="0" fillId="0" borderId="51" pivotButton="0" quotePrefix="0" xfId="0"/>
    <xf numFmtId="164" fontId="6" fillId="0" borderId="14" applyAlignment="1" pivotButton="0" quotePrefix="0" xfId="0">
      <alignment horizontal="right" vertical="center" wrapText="1"/>
    </xf>
    <xf numFmtId="0" fontId="5" fillId="0" borderId="102" applyAlignment="1" pivotButton="0" quotePrefix="0" xfId="0">
      <alignment horizontal="justify" vertical="center" wrapText="1"/>
    </xf>
    <xf numFmtId="0" fontId="0" fillId="0" borderId="30" pivotButton="0" quotePrefix="0" xfId="0"/>
    <xf numFmtId="0" fontId="5" fillId="0" borderId="100" applyAlignment="1" pivotButton="0" quotePrefix="0" xfId="0">
      <alignment horizontal="justify" vertical="center" wrapText="1"/>
    </xf>
    <xf numFmtId="0" fontId="5" fillId="0" borderId="101" applyAlignment="1" pivotButton="0" quotePrefix="0" xfId="0">
      <alignment horizontal="justify" vertical="center" wrapText="1"/>
    </xf>
    <xf numFmtId="0" fontId="0" fillId="0" borderId="112" pivotButton="0" quotePrefix="0" xfId="0"/>
    <xf numFmtId="0" fontId="0" fillId="0" borderId="74" pivotButton="0" quotePrefix="0" xfId="0"/>
    <xf numFmtId="0" fontId="0" fillId="0" borderId="43" pivotButton="0" quotePrefix="0" xfId="0"/>
    <xf numFmtId="49" fontId="18" fillId="0" borderId="41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75" pivotButton="0" quotePrefix="0" xfId="0"/>
    <xf numFmtId="0" fontId="0" fillId="0" borderId="115" pivotButton="0" quotePrefix="0" xfId="0"/>
    <xf numFmtId="0" fontId="0" fillId="0" borderId="116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118" pivotButton="0" quotePrefix="0" xfId="0"/>
    <xf numFmtId="0" fontId="0" fillId="0" borderId="54" pivotButton="0" quotePrefix="0" xfId="0"/>
    <xf numFmtId="0" fontId="0" fillId="0" borderId="72" pivotButton="0" quotePrefix="0" xfId="0"/>
    <xf numFmtId="0" fontId="0" fillId="0" borderId="69" pivotButton="0" quotePrefix="0" xfId="0"/>
    <xf numFmtId="0" fontId="0" fillId="0" borderId="99" pivotButton="0" quotePrefix="0" xfId="0"/>
    <xf numFmtId="0" fontId="0" fillId="0" borderId="114" pivotButton="0" quotePrefix="0" xfId="0"/>
    <xf numFmtId="0" fontId="0" fillId="0" borderId="60" pivotButton="0" quotePrefix="0" xfId="0"/>
    <xf numFmtId="0" fontId="0" fillId="0" borderId="61" pivotButton="0" quotePrefix="0" xfId="0"/>
    <xf numFmtId="14" fontId="26" fillId="0" borderId="41" applyAlignment="1" pivotButton="0" quotePrefix="0" xfId="0">
      <alignment horizontal="left" vertical="center"/>
    </xf>
    <xf numFmtId="0" fontId="0" fillId="0" borderId="64" pivotButton="0" quotePrefix="0" xfId="0"/>
    <xf numFmtId="49" fontId="25" fillId="3" borderId="113" applyAlignment="1" pivotButton="0" quotePrefix="0" xfId="0">
      <alignment horizontal="center" vertical="center"/>
    </xf>
    <xf numFmtId="0" fontId="0" fillId="0" borderId="66" pivotButton="0" quotePrefix="0" xfId="0"/>
    <xf numFmtId="0" fontId="0" fillId="0" borderId="67" pivotButton="0" quotePrefix="0" xfId="0"/>
    <xf numFmtId="0" fontId="0" fillId="0" borderId="119" pivotButton="0" quotePrefix="0" xfId="0"/>
    <xf numFmtId="0" fontId="25" fillId="3" borderId="70" applyAlignment="1" pivotButton="0" quotePrefix="0" xfId="0">
      <alignment horizontal="left" vertical="center"/>
    </xf>
    <xf numFmtId="0" fontId="0" fillId="0" borderId="70" pivotButton="0" quotePrefix="0" xfId="0"/>
    <xf numFmtId="0" fontId="26" fillId="0" borderId="32" applyAlignment="1" pivotButton="0" quotePrefix="0" xfId="0">
      <alignment horizontal="center" vertical="center" shrinkToFit="1"/>
    </xf>
    <xf numFmtId="164" fontId="26" fillId="0" borderId="32" applyAlignment="1" pivotButton="0" quotePrefix="0" xfId="2">
      <alignment horizontal="center" vertical="center" shrinkToFit="1"/>
    </xf>
    <xf numFmtId="164" fontId="26" fillId="0" borderId="32" applyAlignment="1" pivotButton="0" quotePrefix="0" xfId="2">
      <alignment horizontal="right" vertical="center"/>
    </xf>
    <xf numFmtId="0" fontId="26" fillId="0" borderId="32" applyAlignment="1" pivotButton="0" quotePrefix="0" xfId="0">
      <alignment horizontal="center" vertical="center"/>
    </xf>
    <xf numFmtId="49" fontId="20" fillId="2" borderId="108" applyAlignment="1" pivotButton="0" quotePrefix="0" xfId="0">
      <alignment horizontal="center" vertical="center"/>
    </xf>
    <xf numFmtId="0" fontId="0" fillId="0" borderId="77" pivotButton="0" quotePrefix="0" xfId="0"/>
    <xf numFmtId="164" fontId="15" fillId="2" borderId="110" applyAlignment="1" pivotButton="0" quotePrefix="0" xfId="0">
      <alignment horizontal="right" vertical="center"/>
    </xf>
    <xf numFmtId="0" fontId="0" fillId="0" borderId="79" pivotButton="0" quotePrefix="0" xfId="0"/>
    <xf numFmtId="49" fontId="20" fillId="2" borderId="110" applyAlignment="1" pivotButton="0" quotePrefix="0" xfId="0">
      <alignment horizontal="center" vertical="center"/>
    </xf>
    <xf numFmtId="168" fontId="15" fillId="2" borderId="110" applyAlignment="1" pivotButton="0" quotePrefix="0" xfId="0">
      <alignment horizontal="right" vertical="center"/>
    </xf>
    <xf numFmtId="49" fontId="15" fillId="3" borderId="110" applyAlignment="1" pivotButton="0" quotePrefix="0" xfId="0">
      <alignment horizontal="center" vertical="center"/>
    </xf>
    <xf numFmtId="164" fontId="15" fillId="3" borderId="111" applyAlignment="1" pivotButton="0" quotePrefix="0" xfId="0">
      <alignment horizontal="right" vertical="center"/>
    </xf>
    <xf numFmtId="0" fontId="0" fillId="0" borderId="80" pivotButton="0" quotePrefix="0" xfId="0"/>
    <xf numFmtId="49" fontId="18" fillId="2" borderId="106" applyAlignment="1" pivotButton="0" quotePrefix="0" xfId="0">
      <alignment horizontal="center" vertical="center" wrapText="1"/>
    </xf>
    <xf numFmtId="0" fontId="0" fillId="0" borderId="82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49" fontId="30" fillId="0" borderId="107" applyAlignment="1" pivotButton="0" quotePrefix="0" xfId="3">
      <alignment horizontal="center" vertical="center"/>
    </xf>
    <xf numFmtId="0" fontId="0" fillId="0" borderId="91" pivotButton="0" quotePrefix="0" xfId="0"/>
    <xf numFmtId="0" fontId="0" fillId="0" borderId="92" pivotButton="0" quotePrefix="0" xfId="0"/>
  </cellXfs>
  <cellStyles count="4">
    <cellStyle name="표준" xfId="0" builtinId="0"/>
    <cellStyle name="표준 2" xfId="1"/>
    <cellStyle name="쉼표 [0]" xfId="2" builtinId="6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/Relationships>
</file>

<file path=xl/drawings/drawing1.xml><?xml version="1.0" encoding="utf-8"?>
<wsDr xmlns="http://schemas.openxmlformats.org/drawingml/2006/spreadsheetDrawing">
  <twoCellAnchor editAs="oneCell">
    <from>
      <col>11</col>
      <colOff>498771</colOff>
      <row>3</row>
      <rowOff>63588</rowOff>
    </from>
    <to>
      <col>12</col>
      <colOff>372580</colOff>
      <row>5</row>
      <rowOff>16449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tretch xmlns:a="http://schemas.openxmlformats.org/drawingml/2006/main">
          <a:fillRect/>
        </a:stretch>
      </blipFill>
      <spPr>
        <a:xfrm xmlns:a="http://schemas.openxmlformats.org/drawingml/2006/main" rot="455678">
          <a:off x="6994821" y="863688"/>
          <a:ext cx="559609" cy="550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29</col>
      <colOff>9525</colOff>
      <row>1</row>
      <rowOff>104775</rowOff>
    </from>
    <to>
      <col>30</col>
      <colOff>123825</colOff>
      <row>2</row>
      <rowOff>161925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36147" t="33426" r="55576" b="51891"/>
        <a:stretch xmlns:a="http://schemas.openxmlformats.org/drawingml/2006/main">
          <a:fillRect/>
        </a:stretch>
      </blipFill>
      <spPr bwMode="auto">
        <a:xfrm xmlns:a="http://schemas.openxmlformats.org/drawingml/2006/main" rot="839080">
          <a:off x="6429375" y="742950"/>
          <a:ext cx="342900" cy="333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29</col>
      <colOff>9525</colOff>
      <row>1</row>
      <rowOff>171450</rowOff>
    </from>
    <to>
      <col>31</col>
      <colOff>123825</colOff>
      <row>1</row>
      <rowOff>171450</rowOff>
    </to>
    <pic>
      <nvPicPr>
        <cNvPr id="3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36147" t="33426" r="55576" b="51891"/>
        <a:stretch xmlns:a="http://schemas.openxmlformats.org/drawingml/2006/main">
          <a:fillRect/>
        </a:stretch>
      </blipFill>
      <spPr bwMode="auto">
        <a:xfrm xmlns:a="http://schemas.openxmlformats.org/drawingml/2006/main" rot="839080">
          <a:off x="6429375" y="809625"/>
          <a:ext cx="48577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161925</colOff>
      <row>40</row>
      <rowOff>28575</rowOff>
    </from>
    <to>
      <col>11</col>
      <colOff>180975</colOff>
      <row>41</row>
      <rowOff>0</rowOff>
    </to>
    <pic>
      <nvPicPr>
        <cNvPr id="4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l="42500" t="39999" r="53229" b="5240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8591550"/>
          <a:ext cx="247650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29</col>
      <colOff>28575</colOff>
      <row>2</row>
      <rowOff>0</rowOff>
    </from>
    <to>
      <col>31</col>
      <colOff>123825</colOff>
      <row>2</row>
      <rowOff>0</rowOff>
    </to>
    <pic>
      <nvPicPr>
        <cNvPr id="5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36147" t="33426" r="55576" b="51891"/>
        <a:stretch xmlns:a="http://schemas.openxmlformats.org/drawingml/2006/main">
          <a:fillRect/>
        </a:stretch>
      </blipFill>
      <spPr bwMode="auto">
        <a:xfrm xmlns:a="http://schemas.openxmlformats.org/drawingml/2006/main" rot="839080">
          <a:off x="6448425" y="914400"/>
          <a:ext cx="4667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10</col>
      <colOff>161925</colOff>
      <row>41</row>
      <rowOff>28575</rowOff>
    </from>
    <to>
      <col>11</col>
      <colOff>180975</colOff>
      <row>42</row>
      <rowOff>0</rowOff>
    </to>
    <pic>
      <nvPicPr>
        <cNvPr id="6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 l="42500" t="39999" r="53229" b="5240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8629650"/>
          <a:ext cx="247650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www.hk4.co.kr/" TargetMode="External" Id="rId1"/><Relationship Type="http://schemas.openxmlformats.org/officeDocument/2006/relationships/drawing" Target="/xl/drawings/drawing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6.5"/>
  <cols>
    <col width="94.75" bestFit="1" customWidth="1" style="225" min="1" max="1"/>
  </cols>
  <sheetData>
    <row r="1">
      <c r="A1" s="225" t="inlineStr">
        <is>
          <t>품목명</t>
        </is>
      </c>
      <c r="B1" s="225" t="inlineStr">
        <is>
          <t>수량</t>
        </is>
      </c>
      <c r="C1" s="225" t="inlineStr">
        <is>
          <t>가격</t>
        </is>
      </c>
      <c r="D1" s="226" t="n"/>
      <c r="E1" s="226" t="n"/>
    </row>
    <row r="2">
      <c r="A2" s="53" t="inlineStr">
        <is>
          <t>원형오뚜기 체인걸이형/기본인쇄 [L360*H1080mm/주차금지 반사지]</t>
        </is>
      </c>
      <c r="B2" s="54" t="n">
        <v>10</v>
      </c>
      <c r="C2" s="55" t="n">
        <v>12000</v>
      </c>
      <c r="D2" s="55" t="n">
        <v>120000</v>
      </c>
      <c r="E2" s="226" t="n"/>
    </row>
    <row r="3">
      <c r="A3" s="53" t="inlineStr">
        <is>
          <t>칼라콘/SJ [380*380*h680]</t>
        </is>
      </c>
      <c r="B3" s="54" t="n">
        <v>20</v>
      </c>
      <c r="C3" s="55" t="n">
        <v>2800</v>
      </c>
      <c r="D3" s="55" t="n">
        <v>56000</v>
      </c>
      <c r="E3" s="52" t="n"/>
    </row>
    <row r="4">
      <c r="A4" s="53" t="inlineStr">
        <is>
          <t>배송료</t>
        </is>
      </c>
      <c r="B4" s="54" t="n">
        <v>1</v>
      </c>
      <c r="C4" s="55" t="n">
        <v>78000</v>
      </c>
      <c r="D4" s="55" t="n">
        <v>78000</v>
      </c>
      <c r="E4" s="226" t="n"/>
    </row>
    <row r="5">
      <c r="A5" s="53" t="inlineStr">
        <is>
          <t>나눔테크 심장충격기 (연습용) [NT-381.CT]</t>
        </is>
      </c>
      <c r="B5" s="54" t="n">
        <v>1</v>
      </c>
      <c r="C5" s="55" t="n">
        <v>500000</v>
      </c>
      <c r="D5" s="55" t="n">
        <v>500000</v>
      </c>
      <c r="E5" s="226" t="n"/>
    </row>
    <row r="6">
      <c r="A6" s="53" t="inlineStr">
        <is>
          <t>프레스탄모니터형마네킹</t>
        </is>
      </c>
      <c r="B6" s="54" t="n">
        <v>1</v>
      </c>
      <c r="C6" s="55" t="n">
        <v>318182</v>
      </c>
      <c r="D6" s="55" t="n">
        <v>318182</v>
      </c>
      <c r="E6" s="226" t="n"/>
    </row>
    <row r="7">
      <c r="A7" s="53" t="inlineStr">
        <is>
          <t>프레스탄일반형마네킹</t>
        </is>
      </c>
      <c r="B7" s="54" t="n">
        <v>1</v>
      </c>
      <c r="C7" s="55" t="n">
        <v>286364</v>
      </c>
      <c r="D7" s="55" t="n">
        <v>286364</v>
      </c>
      <c r="E7" s="226" t="n"/>
    </row>
    <row r="8">
      <c r="A8" s="53" t="n"/>
      <c r="B8" s="54" t="n"/>
      <c r="C8" s="55" t="n"/>
      <c r="D8" s="226" t="n"/>
      <c r="E8" s="226" t="n"/>
    </row>
    <row r="9">
      <c r="A9" s="53" t="n"/>
      <c r="B9" s="54" t="n"/>
      <c r="C9" s="55" t="n"/>
      <c r="D9" s="226" t="n"/>
      <c r="E9" s="226" t="n"/>
    </row>
    <row r="10">
      <c r="A10" s="53" t="n"/>
      <c r="B10" s="54" t="n"/>
      <c r="C10" s="55" t="n"/>
      <c r="D10" s="226" t="n"/>
      <c r="E10" s="226" t="n"/>
    </row>
    <row r="11">
      <c r="A11" s="53" t="n"/>
      <c r="B11" s="54" t="n"/>
      <c r="C11" s="55" t="n"/>
      <c r="D11" s="226" t="n"/>
      <c r="E11" s="226" t="n"/>
    </row>
    <row r="12">
      <c r="A12" s="53" t="n"/>
      <c r="B12" s="54" t="n"/>
      <c r="C12" s="55" t="n"/>
      <c r="D12" s="226" t="n"/>
      <c r="E12" s="226" t="n"/>
    </row>
    <row r="13">
      <c r="A13" s="53" t="n"/>
      <c r="B13" s="54" t="n"/>
      <c r="C13" s="55" t="n"/>
      <c r="D13" s="226" t="n"/>
      <c r="E13" s="226" t="n"/>
    </row>
    <row r="14">
      <c r="A14" s="53" t="n"/>
      <c r="B14" s="54" t="n"/>
      <c r="C14" s="55" t="n"/>
      <c r="D14" s="226" t="n"/>
      <c r="E14" s="226" t="n"/>
    </row>
    <row r="15">
      <c r="A15" s="53" t="n"/>
      <c r="B15" s="54" t="n"/>
      <c r="C15" s="55" t="n"/>
      <c r="D15" s="226" t="n"/>
      <c r="E15" s="226" t="n"/>
    </row>
    <row r="16">
      <c r="A16" s="53" t="n"/>
      <c r="B16" s="54" t="n"/>
      <c r="C16" s="55" t="n"/>
      <c r="D16" s="226" t="n"/>
      <c r="E16" s="226" t="n"/>
    </row>
    <row r="17">
      <c r="A17" s="53" t="n"/>
      <c r="B17" s="54" t="n"/>
      <c r="C17" s="55" t="n"/>
      <c r="D17" s="226" t="n"/>
      <c r="E17" s="226" t="n"/>
    </row>
    <row r="18">
      <c r="A18" s="53" t="n"/>
      <c r="B18" s="54" t="n"/>
      <c r="C18" s="55" t="n"/>
      <c r="D18" s="226" t="n"/>
      <c r="E18" s="226" t="n"/>
    </row>
    <row r="19">
      <c r="A19" s="53" t="n"/>
      <c r="B19" s="54" t="n"/>
      <c r="C19" s="55" t="n"/>
      <c r="D19" s="226" t="n"/>
      <c r="E19" s="226" t="n"/>
    </row>
    <row r="20">
      <c r="A20" s="53" t="n"/>
      <c r="B20" s="54" t="n"/>
      <c r="C20" s="55" t="n"/>
      <c r="D20" s="226" t="n"/>
      <c r="E20" s="226" t="n"/>
    </row>
    <row r="21">
      <c r="A21" s="53" t="n"/>
      <c r="B21" s="54" t="n"/>
      <c r="C21" s="55" t="n"/>
      <c r="D21" s="226" t="n"/>
      <c r="E21" s="226" t="n"/>
    </row>
    <row r="22">
      <c r="A22" s="53" t="n"/>
      <c r="B22" s="54" t="n"/>
      <c r="C22" s="55" t="n"/>
      <c r="D22" s="226" t="n"/>
      <c r="E22" s="2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7"/>
  <sheetViews>
    <sheetView zoomScale="115" zoomScaleNormal="115" workbookViewId="0">
      <selection activeCell="B15" sqref="B15:E15"/>
    </sheetView>
  </sheetViews>
  <sheetFormatPr baseColWidth="8" defaultRowHeight="16.5"/>
  <cols>
    <col width="4.875" customWidth="1" style="227" min="1" max="1"/>
    <col width="12.25" customWidth="1" style="227" min="3" max="3"/>
    <col width="12" customWidth="1" style="227" min="5" max="5"/>
    <col width="5.125" customWidth="1" style="227" min="6" max="7"/>
    <col width="11.625" customWidth="1" style="227" min="8" max="8"/>
    <col width="18.625" customWidth="1" style="227" min="9" max="9"/>
    <col width="4.625" customWidth="1" style="227" min="10" max="10"/>
    <col width="1.75" customWidth="1" style="227" min="11" max="11"/>
    <col width="6" customWidth="1" style="227" min="13" max="13"/>
  </cols>
  <sheetData>
    <row r="1" ht="17.25" customHeight="1" s="227" thickTop="1">
      <c r="A1" s="228" t="inlineStr">
        <is>
          <t xml:space="preserve">No. </t>
        </is>
      </c>
      <c r="B1" s="229" t="n"/>
      <c r="C1" s="229" t="n"/>
      <c r="D1" s="229" t="n"/>
      <c r="E1" s="229" t="n"/>
      <c r="F1" s="229" t="n"/>
      <c r="G1" s="229" t="n"/>
      <c r="H1" s="229" t="n"/>
      <c r="I1" s="229" t="n"/>
      <c r="J1" s="229" t="n"/>
      <c r="K1" s="229" t="n"/>
      <c r="L1" s="229" t="n"/>
      <c r="M1" s="230" t="n"/>
    </row>
    <row r="2" ht="22.5" customHeight="1" s="227">
      <c r="A2" s="231" t="inlineStr">
        <is>
          <t>견   적   서</t>
        </is>
      </c>
      <c r="M2" s="232" t="n"/>
    </row>
    <row r="3" ht="23.25" customHeight="1" s="227" thickBot="1">
      <c r="A3" s="233" t="inlineStr">
        <is>
          <t>ㅡㅡㅡㅡㅡㅡㅡㅡㅡㅡㅡㅡㅡㅡㅡㅡㅡ</t>
        </is>
      </c>
      <c r="M3" s="232" t="n"/>
    </row>
    <row r="4" ht="18.6" customHeight="1" s="227" thickTop="1">
      <c r="A4" s="78" t="n"/>
      <c r="B4" s="234">
        <f>TODAY()</f>
        <v/>
      </c>
      <c r="E4" s="79" t="n"/>
      <c r="F4" s="235" t="inlineStr">
        <is>
          <t>공</t>
        </is>
      </c>
      <c r="G4" s="230" t="n"/>
      <c r="H4" s="2" t="inlineStr">
        <is>
          <t>등 록 번 호</t>
        </is>
      </c>
      <c r="I4" s="236" t="inlineStr">
        <is>
          <t>528-87-02337</t>
        </is>
      </c>
      <c r="J4" s="237" t="n"/>
      <c r="K4" s="237" t="n"/>
      <c r="L4" s="237" t="n"/>
      <c r="M4" s="238" t="n"/>
    </row>
    <row r="5" ht="29.25" customHeight="1" s="227">
      <c r="A5" s="239" t="n"/>
      <c r="B5" s="240" t="n"/>
      <c r="C5" s="240" t="n"/>
      <c r="D5" s="240" t="n"/>
      <c r="F5" s="241" t="n"/>
      <c r="G5" s="232" t="n"/>
      <c r="H5" s="3" t="inlineStr">
        <is>
          <t>상호(법인명)</t>
        </is>
      </c>
      <c r="I5" s="21" t="inlineStr">
        <is>
          <t>주식회사
거성에이엠에스(AMS)</t>
        </is>
      </c>
      <c r="J5" s="4" t="inlineStr">
        <is>
          <t>성명</t>
        </is>
      </c>
      <c r="K5" s="242" t="n"/>
      <c r="L5" s="243" t="inlineStr">
        <is>
          <t>심정근 (인)</t>
        </is>
      </c>
      <c r="M5" s="244" t="n"/>
    </row>
    <row r="6" ht="31.5" customHeight="1" s="227">
      <c r="A6" s="78" t="n"/>
      <c r="B6" s="97" t="inlineStr">
        <is>
          <t>동탄2 LH2단지 행복주택A4-1블럭 아파트</t>
        </is>
      </c>
      <c r="C6" s="245" t="n"/>
      <c r="D6" s="245" t="n"/>
      <c r="E6" s="8" t="inlineStr">
        <is>
          <t>귀하</t>
        </is>
      </c>
      <c r="F6" s="246" t="inlineStr">
        <is>
          <t>급</t>
        </is>
      </c>
      <c r="G6" s="232" t="n"/>
      <c r="H6" s="5" t="inlineStr">
        <is>
          <t>사업장주소</t>
        </is>
      </c>
      <c r="I6" s="15" t="inlineStr">
        <is>
          <t>경기도 화성시 효행로 614번길 20
(안녕동 162)</t>
        </is>
      </c>
      <c r="J6" s="245" t="n"/>
      <c r="K6" s="245" t="n"/>
      <c r="L6" s="245" t="n"/>
      <c r="M6" s="244" t="n"/>
    </row>
    <row r="7" ht="27" customHeight="1" s="227">
      <c r="A7" s="86" t="n"/>
      <c r="B7" s="89" t="inlineStr">
        <is>
          <t>아래와 같이 견적합니다.</t>
        </is>
      </c>
      <c r="C7" s="247" t="n"/>
      <c r="D7" s="10" t="n"/>
      <c r="E7" s="87" t="n"/>
      <c r="F7" s="241" t="n"/>
      <c r="G7" s="232" t="n"/>
      <c r="H7" s="5" t="inlineStr">
        <is>
          <t>업 태</t>
        </is>
      </c>
      <c r="I7" s="4" t="inlineStr">
        <is>
          <t>도.소매</t>
        </is>
      </c>
      <c r="J7" s="4" t="inlineStr">
        <is>
          <t>종목</t>
        </is>
      </c>
      <c r="K7" s="242" t="n"/>
      <c r="L7" s="15" t="inlineStr">
        <is>
          <t>전기소방,유통
잡자재</t>
        </is>
      </c>
      <c r="M7" s="244" t="n"/>
    </row>
    <row r="8" ht="27.75" customHeight="1" s="227" thickBot="1">
      <c r="A8" s="248" t="n"/>
      <c r="B8" s="249" t="n"/>
      <c r="C8" s="249" t="n"/>
      <c r="D8" s="11" t="n"/>
      <c r="E8" s="249" t="n"/>
      <c r="F8" s="250" t="inlineStr">
        <is>
          <t>자</t>
        </is>
      </c>
      <c r="G8" s="251" t="n"/>
      <c r="H8" s="6" t="inlineStr">
        <is>
          <t>전 화 번 호</t>
        </is>
      </c>
      <c r="I8" s="252" t="inlineStr">
        <is>
          <t>010-7161-9139</t>
        </is>
      </c>
      <c r="J8" s="253" t="n"/>
      <c r="K8" s="253" t="n"/>
      <c r="L8" s="253" t="n"/>
      <c r="M8" s="254" t="n"/>
    </row>
    <row r="9" ht="24.95" customHeight="1" s="227" thickBot="1" thickTop="1">
      <c r="A9" s="109" t="inlineStr">
        <is>
          <t>합 계 금 액(공급가액+VAT포함)</t>
        </is>
      </c>
      <c r="B9" s="255" t="n"/>
      <c r="C9" s="255" t="n"/>
      <c r="D9" s="255" t="n"/>
      <c r="E9" s="110" t="inlineStr">
        <is>
          <t>일금</t>
        </is>
      </c>
      <c r="F9" s="256">
        <f>J9</f>
        <v/>
      </c>
      <c r="G9" s="255" t="n"/>
      <c r="H9" s="255" t="n"/>
      <c r="I9" s="255" t="n"/>
      <c r="J9" s="257">
        <f>I34+K34</f>
        <v/>
      </c>
      <c r="K9" s="255" t="n"/>
      <c r="L9" s="255" t="n"/>
      <c r="M9" s="258" t="n"/>
    </row>
    <row r="10" ht="24.95" customHeight="1" s="227" thickTop="1">
      <c r="A10" s="56" t="inlineStr">
        <is>
          <t>순번</t>
        </is>
      </c>
      <c r="B10" s="57" t="inlineStr">
        <is>
          <t>품명 및 규격</t>
        </is>
      </c>
      <c r="C10" s="229" t="n"/>
      <c r="D10" s="229" t="n"/>
      <c r="E10" s="259" t="n"/>
      <c r="F10" s="57" t="inlineStr">
        <is>
          <t>수량</t>
        </is>
      </c>
      <c r="G10" s="57" t="inlineStr">
        <is>
          <t>단위</t>
        </is>
      </c>
      <c r="H10" s="57" t="inlineStr">
        <is>
          <t>단 가</t>
        </is>
      </c>
      <c r="I10" s="57" t="inlineStr">
        <is>
          <t>공 급 가 액</t>
        </is>
      </c>
      <c r="J10" s="259" t="n"/>
      <c r="K10" s="57" t="inlineStr">
        <is>
          <t>세 액</t>
        </is>
      </c>
      <c r="L10" s="259" t="n"/>
      <c r="M10" s="58" t="inlineStr">
        <is>
          <t>비 고</t>
        </is>
      </c>
    </row>
    <row r="11" ht="24.95" customHeight="1" s="227">
      <c r="A11" s="14" t="n">
        <v>1</v>
      </c>
      <c r="B11" s="260">
        <f>자재피아기본견적!A2</f>
        <v/>
      </c>
      <c r="C11" s="247" t="n"/>
      <c r="D11" s="247" t="n"/>
      <c r="E11" s="261" t="n"/>
      <c r="F11" s="262">
        <f>자재피아기본견적!B2</f>
        <v/>
      </c>
      <c r="G11" s="4" t="n"/>
      <c r="H11" s="263">
        <f>ROUND(자재피아기본견적!C2*(1+0.15),-2)</f>
        <v/>
      </c>
      <c r="I11" s="263">
        <f>H11*F11</f>
        <v/>
      </c>
      <c r="J11" s="242" t="n"/>
      <c r="K11" s="263">
        <f>I11*0.1</f>
        <v/>
      </c>
      <c r="L11" s="242" t="n"/>
      <c r="M11" s="15" t="n"/>
    </row>
    <row r="12" ht="24.95" customHeight="1" s="227">
      <c r="A12" s="120" t="n">
        <v>2</v>
      </c>
      <c r="B12" s="260">
        <f>자재피아기본견적!A3</f>
        <v/>
      </c>
      <c r="C12" s="247" t="n"/>
      <c r="D12" s="247" t="n"/>
      <c r="E12" s="261" t="n"/>
      <c r="F12" s="262">
        <f>자재피아기본견적!B3</f>
        <v/>
      </c>
      <c r="G12" s="4" t="n"/>
      <c r="H12" s="263">
        <f>ROUND(자재피아기본견적!C3*(1+0.15),-2)</f>
        <v/>
      </c>
      <c r="I12" s="263">
        <f>H12*F12</f>
        <v/>
      </c>
      <c r="J12" s="242" t="n"/>
      <c r="K12" s="263">
        <f>I12*0.1</f>
        <v/>
      </c>
      <c r="L12" s="242" t="n"/>
      <c r="M12" s="16" t="n"/>
    </row>
    <row r="13" ht="24.95" customHeight="1" s="227">
      <c r="A13" s="120" t="n">
        <v>3</v>
      </c>
      <c r="B13" s="260">
        <f>자재피아기본견적!A4</f>
        <v/>
      </c>
      <c r="C13" s="247" t="n"/>
      <c r="D13" s="247" t="n"/>
      <c r="E13" s="261" t="n"/>
      <c r="F13" s="262">
        <f>자재피아기본견적!B4</f>
        <v/>
      </c>
      <c r="G13" s="4" t="n"/>
      <c r="H13" s="263">
        <f>ROUND(자재피아기본견적!C4*(1+0.15),-2)</f>
        <v/>
      </c>
      <c r="I13" s="263">
        <f>H13*F13</f>
        <v/>
      </c>
      <c r="J13" s="242" t="n"/>
      <c r="K13" s="263">
        <f>I13*0.1</f>
        <v/>
      </c>
      <c r="L13" s="242" t="n"/>
      <c r="M13" s="16" t="n"/>
    </row>
    <row r="14" ht="24.95" customHeight="1" s="227">
      <c r="A14" s="120" t="n">
        <v>4</v>
      </c>
      <c r="B14" s="260">
        <f>자재피아기본견적!A5</f>
        <v/>
      </c>
      <c r="C14" s="247" t="n"/>
      <c r="D14" s="247" t="n"/>
      <c r="E14" s="261" t="n"/>
      <c r="F14" s="262">
        <f>자재피아기본견적!B5</f>
        <v/>
      </c>
      <c r="G14" s="4" t="n"/>
      <c r="H14" s="263">
        <f>ROUND(자재피아기본견적!C5*(1+0.15),-2)</f>
        <v/>
      </c>
      <c r="I14" s="263">
        <f>H14*F14</f>
        <v/>
      </c>
      <c r="J14" s="242" t="n"/>
      <c r="K14" s="263">
        <f>I14*0.1</f>
        <v/>
      </c>
      <c r="L14" s="242" t="n"/>
      <c r="M14" s="17" t="n"/>
    </row>
    <row r="15" ht="24.95" customHeight="1" s="227">
      <c r="A15" s="120" t="n">
        <v>5</v>
      </c>
      <c r="B15" s="260">
        <f>자재피아기본견적!A6</f>
        <v/>
      </c>
      <c r="C15" s="247" t="n"/>
      <c r="D15" s="247" t="n"/>
      <c r="E15" s="261" t="n"/>
      <c r="F15" s="262">
        <f>자재피아기본견적!B6</f>
        <v/>
      </c>
      <c r="G15" s="4" t="n"/>
      <c r="H15" s="263">
        <f>ROUND(자재피아기본견적!C6*(1+0.15),-2)</f>
        <v/>
      </c>
      <c r="I15" s="263">
        <f>H15*F15</f>
        <v/>
      </c>
      <c r="J15" s="242" t="n"/>
      <c r="K15" s="263">
        <f>I15*0.1</f>
        <v/>
      </c>
      <c r="L15" s="242" t="n"/>
      <c r="M15" s="17" t="n"/>
    </row>
    <row r="16" ht="24.95" customHeight="1" s="227">
      <c r="A16" s="23" t="n">
        <v>6</v>
      </c>
      <c r="B16" s="260">
        <f>자재피아기본견적!A7</f>
        <v/>
      </c>
      <c r="C16" s="247" t="n"/>
      <c r="D16" s="247" t="n"/>
      <c r="E16" s="261" t="n"/>
      <c r="F16" s="262">
        <f>자재피아기본견적!B7</f>
        <v/>
      </c>
      <c r="G16" s="4" t="n"/>
      <c r="H16" s="263">
        <f>ROUND(자재피아기본견적!C7*(1+0.15),-2)</f>
        <v/>
      </c>
      <c r="I16" s="263">
        <f>H16*F16</f>
        <v/>
      </c>
      <c r="J16" s="242" t="n"/>
      <c r="K16" s="263">
        <f>I16*0.1</f>
        <v/>
      </c>
      <c r="L16" s="242" t="n"/>
      <c r="M16" s="15" t="n"/>
    </row>
    <row r="17" ht="24.95" customHeight="1" s="227">
      <c r="A17" s="120" t="n"/>
      <c r="B17" s="260" t="n"/>
      <c r="C17" s="247" t="n"/>
      <c r="D17" s="247" t="n"/>
      <c r="E17" s="261" t="n"/>
      <c r="F17" s="262" t="n"/>
      <c r="G17" s="4" t="n"/>
      <c r="H17" s="263" t="n"/>
      <c r="I17" s="263" t="n"/>
      <c r="J17" s="242" t="n"/>
      <c r="K17" s="263" t="n"/>
      <c r="L17" s="242" t="n"/>
      <c r="M17" s="15" t="n"/>
    </row>
    <row r="18" ht="24.95" customHeight="1" s="227">
      <c r="A18" s="120" t="n"/>
      <c r="B18" s="260" t="n"/>
      <c r="C18" s="247" t="n"/>
      <c r="D18" s="247" t="n"/>
      <c r="E18" s="261" t="n"/>
      <c r="F18" s="262" t="n"/>
      <c r="G18" s="4" t="n"/>
      <c r="H18" s="263" t="n"/>
      <c r="I18" s="263" t="n"/>
      <c r="J18" s="242" t="n"/>
      <c r="K18" s="263" t="n"/>
      <c r="L18" s="242" t="n"/>
      <c r="M18" s="16" t="n"/>
    </row>
    <row r="19" ht="24.95" customHeight="1" s="227">
      <c r="A19" s="120" t="n"/>
      <c r="B19" s="260" t="n"/>
      <c r="C19" s="247" t="n"/>
      <c r="D19" s="247" t="n"/>
      <c r="E19" s="261" t="n"/>
      <c r="F19" s="262" t="n"/>
      <c r="G19" s="4" t="n"/>
      <c r="H19" s="263" t="n"/>
      <c r="I19" s="263" t="n"/>
      <c r="J19" s="242" t="n"/>
      <c r="K19" s="263" t="n"/>
      <c r="L19" s="242" t="n"/>
      <c r="M19" s="15" t="n"/>
    </row>
    <row r="20" ht="24.95" customHeight="1" s="227">
      <c r="A20" s="120" t="n"/>
      <c r="B20" s="260" t="n"/>
      <c r="C20" s="247" t="n"/>
      <c r="D20" s="247" t="n"/>
      <c r="E20" s="261" t="n"/>
      <c r="F20" s="262" t="n"/>
      <c r="G20" s="4" t="n"/>
      <c r="H20" s="263" t="n"/>
      <c r="I20" s="263" t="n"/>
      <c r="J20" s="242" t="n"/>
      <c r="K20" s="263" t="n"/>
      <c r="L20" s="242" t="n"/>
      <c r="M20" s="15" t="n"/>
    </row>
    <row r="21" ht="24.95" customHeight="1" s="227">
      <c r="A21" s="12" t="n"/>
      <c r="B21" s="260" t="n"/>
      <c r="C21" s="247" t="n"/>
      <c r="D21" s="247" t="n"/>
      <c r="E21" s="261" t="n"/>
      <c r="F21" s="262" t="n"/>
      <c r="G21" s="4" t="n"/>
      <c r="H21" s="263" t="n"/>
      <c r="I21" s="263" t="n"/>
      <c r="J21" s="242" t="n"/>
      <c r="K21" s="263" t="n"/>
      <c r="L21" s="242" t="n"/>
      <c r="M21" s="15" t="n"/>
    </row>
    <row r="22" ht="24.95" customHeight="1" s="227">
      <c r="A22" s="14" t="n"/>
      <c r="B22" s="260" t="n"/>
      <c r="C22" s="247" t="n"/>
      <c r="D22" s="247" t="n"/>
      <c r="E22" s="261" t="n"/>
      <c r="F22" s="262" t="n"/>
      <c r="G22" s="4" t="n"/>
      <c r="H22" s="263" t="n"/>
      <c r="I22" s="263" t="n"/>
      <c r="J22" s="242" t="n"/>
      <c r="K22" s="263" t="n"/>
      <c r="L22" s="242" t="n"/>
      <c r="M22" s="15" t="n"/>
    </row>
    <row r="23" ht="24.95" customHeight="1" s="227">
      <c r="A23" s="14" t="n"/>
      <c r="B23" s="260" t="n"/>
      <c r="C23" s="247" t="n"/>
      <c r="D23" s="247" t="n"/>
      <c r="E23" s="261" t="n"/>
      <c r="F23" s="262" t="n"/>
      <c r="G23" s="4" t="n"/>
      <c r="H23" s="263" t="n"/>
      <c r="I23" s="263" t="n"/>
      <c r="J23" s="242" t="n"/>
      <c r="K23" s="263" t="n"/>
      <c r="L23" s="242" t="n"/>
      <c r="M23" s="15" t="n"/>
    </row>
    <row r="24" ht="24.95" customHeight="1" s="227">
      <c r="A24" s="14" t="n"/>
      <c r="B24" s="260" t="n"/>
      <c r="C24" s="247" t="n"/>
      <c r="D24" s="247" t="n"/>
      <c r="E24" s="261" t="n"/>
      <c r="F24" s="262" t="n"/>
      <c r="G24" s="4" t="n"/>
      <c r="H24" s="263" t="n"/>
      <c r="I24" s="263" t="n"/>
      <c r="J24" s="242" t="n"/>
      <c r="K24" s="263" t="n"/>
      <c r="L24" s="242" t="n"/>
      <c r="M24" s="15" t="n"/>
    </row>
    <row r="25" ht="24.95" customHeight="1" s="227">
      <c r="A25" s="14" t="n"/>
      <c r="B25" s="260" t="n"/>
      <c r="C25" s="247" t="n"/>
      <c r="D25" s="247" t="n"/>
      <c r="E25" s="261" t="n"/>
      <c r="F25" s="262" t="n"/>
      <c r="G25" s="4" t="n"/>
      <c r="H25" s="263" t="n"/>
      <c r="I25" s="263" t="n"/>
      <c r="J25" s="242" t="n"/>
      <c r="K25" s="263" t="n"/>
      <c r="L25" s="242" t="n"/>
      <c r="M25" s="15" t="n"/>
    </row>
    <row r="26" ht="24.95" customHeight="1" s="227">
      <c r="A26" s="12" t="n"/>
      <c r="B26" s="260" t="n"/>
      <c r="C26" s="247" t="n"/>
      <c r="D26" s="247" t="n"/>
      <c r="E26" s="261" t="n"/>
      <c r="F26" s="262" t="n"/>
      <c r="G26" s="4" t="n"/>
      <c r="H26" s="263" t="n"/>
      <c r="I26" s="263" t="n"/>
      <c r="J26" s="242" t="n"/>
      <c r="K26" s="263" t="n"/>
      <c r="L26" s="242" t="n"/>
      <c r="M26" s="15" t="n"/>
    </row>
    <row r="27" ht="24.95" customHeight="1" s="227">
      <c r="A27" s="14" t="n"/>
      <c r="B27" s="260" t="n"/>
      <c r="C27" s="247" t="n"/>
      <c r="D27" s="247" t="n"/>
      <c r="E27" s="261" t="n"/>
      <c r="F27" s="262" t="n"/>
      <c r="G27" s="4" t="n"/>
      <c r="H27" s="263" t="n"/>
      <c r="I27" s="263" t="n"/>
      <c r="J27" s="242" t="n"/>
      <c r="K27" s="263" t="n"/>
      <c r="L27" s="242" t="n"/>
      <c r="M27" s="15" t="n"/>
    </row>
    <row r="28" ht="24.95" customHeight="1" s="227">
      <c r="A28" s="14" t="n"/>
      <c r="B28" s="260" t="n"/>
      <c r="C28" s="247" t="n"/>
      <c r="D28" s="247" t="n"/>
      <c r="E28" s="261" t="n"/>
      <c r="F28" s="262" t="n"/>
      <c r="G28" s="4" t="n"/>
      <c r="H28" s="263" t="n"/>
      <c r="I28" s="263" t="n"/>
      <c r="J28" s="242" t="n"/>
      <c r="K28" s="263" t="n"/>
      <c r="L28" s="242" t="n"/>
      <c r="M28" s="15" t="n"/>
    </row>
    <row r="29" ht="24.95" customHeight="1" s="227">
      <c r="A29" s="14" t="n"/>
      <c r="B29" s="260" t="n"/>
      <c r="C29" s="247" t="n"/>
      <c r="D29" s="247" t="n"/>
      <c r="E29" s="261" t="n"/>
      <c r="F29" s="262" t="n"/>
      <c r="G29" s="4" t="n"/>
      <c r="H29" s="263" t="n"/>
      <c r="I29" s="263" t="n"/>
      <c r="J29" s="242" t="n"/>
      <c r="K29" s="263" t="n"/>
      <c r="L29" s="242" t="n"/>
      <c r="M29" s="15" t="n"/>
    </row>
    <row r="30" ht="24.95" customHeight="1" s="227">
      <c r="A30" s="14" t="n"/>
      <c r="B30" s="260" t="n"/>
      <c r="C30" s="247" t="n"/>
      <c r="D30" s="247" t="n"/>
      <c r="E30" s="261" t="n"/>
      <c r="F30" s="262" t="n"/>
      <c r="G30" s="4" t="n"/>
      <c r="H30" s="263" t="n"/>
      <c r="I30" s="263" t="n"/>
      <c r="J30" s="242" t="n"/>
      <c r="K30" s="263" t="n"/>
      <c r="L30" s="242" t="n"/>
      <c r="M30" s="15" t="n"/>
    </row>
    <row r="31" ht="24.95" customHeight="1" s="227">
      <c r="A31" s="12" t="n"/>
      <c r="B31" s="260" t="n"/>
      <c r="C31" s="247" t="n"/>
      <c r="D31" s="247" t="n"/>
      <c r="E31" s="261" t="n"/>
      <c r="F31" s="262" t="n"/>
      <c r="G31" s="4" t="n"/>
      <c r="H31" s="263" t="n"/>
      <c r="I31" s="263" t="n"/>
      <c r="J31" s="242" t="n"/>
      <c r="K31" s="263" t="n"/>
      <c r="L31" s="242" t="n"/>
      <c r="M31" s="15" t="n"/>
    </row>
    <row r="32" ht="24.95" customHeight="1" s="227">
      <c r="A32" s="14" t="n"/>
      <c r="B32" s="260" t="n"/>
      <c r="C32" s="247" t="n"/>
      <c r="D32" s="247" t="n"/>
      <c r="E32" s="261" t="n"/>
      <c r="F32" s="262" t="n"/>
      <c r="G32" s="4" t="n"/>
      <c r="H32" s="263" t="n"/>
      <c r="I32" s="263" t="n"/>
      <c r="J32" s="242" t="n"/>
      <c r="K32" s="263" t="n"/>
      <c r="L32" s="242" t="n"/>
      <c r="M32" s="15" t="n"/>
    </row>
    <row r="33" ht="24.95" customHeight="1" s="227">
      <c r="A33" s="14" t="n"/>
      <c r="B33" s="123" t="n"/>
      <c r="C33" s="264" t="n"/>
      <c r="D33" s="264" t="n"/>
      <c r="E33" s="265" t="n"/>
      <c r="F33" s="262" t="n"/>
      <c r="G33" s="4" t="n"/>
      <c r="H33" s="263" t="n"/>
      <c r="I33" s="263" t="n"/>
      <c r="J33" s="242" t="n"/>
      <c r="K33" s="263" t="n"/>
      <c r="L33" s="242" t="n"/>
      <c r="M33" s="15" t="n"/>
    </row>
    <row r="34" ht="24.95" customHeight="1" s="227">
      <c r="A34" s="14" t="inlineStr">
        <is>
          <t>합 계</t>
        </is>
      </c>
      <c r="B34" s="245" t="n"/>
      <c r="C34" s="245" t="n"/>
      <c r="D34" s="245" t="n"/>
      <c r="E34" s="242" t="n"/>
      <c r="F34" s="18" t="n"/>
      <c r="G34" s="13" t="n"/>
      <c r="H34" s="266" t="n"/>
      <c r="I34" s="263">
        <f>SUM(I11:I16)</f>
        <v/>
      </c>
      <c r="J34" s="242" t="n"/>
      <c r="K34" s="263">
        <f>I34*0.1</f>
        <v/>
      </c>
      <c r="L34" s="242" t="n"/>
      <c r="M34" s="20" t="n"/>
    </row>
    <row r="35" ht="16.5" customHeight="1" s="227">
      <c r="A35" s="267" t="inlineStr">
        <is>
          <t>※기타사항</t>
        </is>
      </c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68" t="n"/>
    </row>
    <row r="36" ht="16.5" customHeight="1" s="227">
      <c r="A36" s="269" t="inlineStr">
        <is>
          <t>1. 견적일로부터 20일간 유효합니다.</t>
        </is>
      </c>
      <c r="M36" s="232" t="n"/>
    </row>
    <row r="37" ht="17.25" customHeight="1" s="227" thickBot="1">
      <c r="A37" s="270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249" t="n"/>
      <c r="M37" s="251" t="n"/>
    </row>
    <row r="38" ht="17.25" customHeight="1" s="227" thickTop="1"/>
  </sheetData>
  <mergeCells count="103">
    <mergeCell ref="K24:L24"/>
    <mergeCell ref="I6:M6"/>
    <mergeCell ref="K33:L33"/>
    <mergeCell ref="A7:A8"/>
    <mergeCell ref="I26:J26"/>
    <mergeCell ref="K26:L26"/>
    <mergeCell ref="I16:J16"/>
    <mergeCell ref="I25:J25"/>
    <mergeCell ref="L5:M5"/>
    <mergeCell ref="B6:D6"/>
    <mergeCell ref="I18:J18"/>
    <mergeCell ref="B22:E22"/>
    <mergeCell ref="B31:E31"/>
    <mergeCell ref="B12:E12"/>
    <mergeCell ref="J9:M9"/>
    <mergeCell ref="B7:C8"/>
    <mergeCell ref="B21:E21"/>
    <mergeCell ref="I8:M8"/>
    <mergeCell ref="B14:E14"/>
    <mergeCell ref="B23:E23"/>
    <mergeCell ref="I20:J20"/>
    <mergeCell ref="B13:E13"/>
    <mergeCell ref="K28:L28"/>
    <mergeCell ref="I13:J13"/>
    <mergeCell ref="K13:L13"/>
    <mergeCell ref="A2:M2"/>
    <mergeCell ref="I30:J30"/>
    <mergeCell ref="A34:E34"/>
    <mergeCell ref="K30:L30"/>
    <mergeCell ref="L7:M7"/>
    <mergeCell ref="I15:J15"/>
    <mergeCell ref="E4:E5"/>
    <mergeCell ref="K15:L15"/>
    <mergeCell ref="A35:M35"/>
    <mergeCell ref="B33:E33"/>
    <mergeCell ref="F6:G6"/>
    <mergeCell ref="B32:E32"/>
    <mergeCell ref="K21:L21"/>
    <mergeCell ref="B26:E26"/>
    <mergeCell ref="A9:D9"/>
    <mergeCell ref="I32:J32"/>
    <mergeCell ref="K32:L32"/>
    <mergeCell ref="F5:G5"/>
    <mergeCell ref="B16:E16"/>
    <mergeCell ref="B25:E25"/>
    <mergeCell ref="B27:E27"/>
    <mergeCell ref="B18:E18"/>
    <mergeCell ref="I24:J24"/>
    <mergeCell ref="I33:J33"/>
    <mergeCell ref="K27:L27"/>
    <mergeCell ref="B11:E11"/>
    <mergeCell ref="I17:J17"/>
    <mergeCell ref="K17:L17"/>
    <mergeCell ref="I4:M4"/>
    <mergeCell ref="I10:J10"/>
    <mergeCell ref="K10:L10"/>
    <mergeCell ref="I19:J19"/>
    <mergeCell ref="B29:E29"/>
    <mergeCell ref="K19:L19"/>
    <mergeCell ref="K16:L16"/>
    <mergeCell ref="F4:G4"/>
    <mergeCell ref="K25:L25"/>
    <mergeCell ref="F9:I9"/>
    <mergeCell ref="I11:J11"/>
    <mergeCell ref="B15:E15"/>
    <mergeCell ref="B24:E24"/>
    <mergeCell ref="F7:G7"/>
    <mergeCell ref="K29:L29"/>
    <mergeCell ref="K11:L11"/>
    <mergeCell ref="K31:L31"/>
    <mergeCell ref="F8:G8"/>
    <mergeCell ref="I21:J21"/>
    <mergeCell ref="A36:M36"/>
    <mergeCell ref="A1:M1"/>
    <mergeCell ref="A4:A5"/>
    <mergeCell ref="E7:E8"/>
    <mergeCell ref="I23:J23"/>
    <mergeCell ref="K23:L23"/>
    <mergeCell ref="B17:E17"/>
    <mergeCell ref="A37:M37"/>
    <mergeCell ref="B19:E19"/>
    <mergeCell ref="B28:E28"/>
    <mergeCell ref="K18:L18"/>
    <mergeCell ref="I34:J34"/>
    <mergeCell ref="K34:L34"/>
    <mergeCell ref="J5:K5"/>
    <mergeCell ref="B30:E30"/>
    <mergeCell ref="B4:D5"/>
    <mergeCell ref="I27:J27"/>
    <mergeCell ref="B20:E20"/>
    <mergeCell ref="K20:L20"/>
    <mergeCell ref="I22:J22"/>
    <mergeCell ref="I28:J28"/>
    <mergeCell ref="K22:L22"/>
    <mergeCell ref="I12:J12"/>
    <mergeCell ref="K12:L12"/>
    <mergeCell ref="J7:K7"/>
    <mergeCell ref="I14:J14"/>
    <mergeCell ref="K14:L14"/>
    <mergeCell ref="I29:J29"/>
    <mergeCell ref="A3:M3"/>
    <mergeCell ref="I31:J31"/>
    <mergeCell ref="B10:E10"/>
  </mergeCells>
  <pageMargins left="0.7" right="0.7" top="0.75" bottom="0.75" header="0.3" footer="0.3"/>
  <pageSetup orientation="portrait" paperSize="9" scale="73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2"/>
  <sheetViews>
    <sheetView view="pageBreakPreview" topLeftCell="C1" zoomScale="85" zoomScaleNormal="100" zoomScaleSheetLayoutView="85" workbookViewId="0">
      <selection activeCell="D16" sqref="D16:O20"/>
    </sheetView>
  </sheetViews>
  <sheetFormatPr baseColWidth="8" defaultRowHeight="16.5"/>
  <cols>
    <col hidden="1" width="0.875" customWidth="1" style="25" min="1" max="1"/>
    <col hidden="1" width="0.5" customWidth="1" style="25" min="2" max="2"/>
    <col width="4.625" customWidth="1" style="25" min="3" max="4"/>
    <col width="4.25" customWidth="1" style="25" min="5" max="5"/>
    <col width="3" customWidth="1" style="25" min="6" max="7"/>
    <col width="3.25" customWidth="1" style="25" min="8" max="8"/>
    <col width="1.5" customWidth="1" style="25" min="9" max="9"/>
    <col width="3" customWidth="1" style="25" min="10" max="14"/>
    <col width="5.75" customWidth="1" style="25" min="15" max="15"/>
    <col width="1.125" customWidth="1" style="25" min="16" max="16"/>
    <col width="2.75" customWidth="1" style="25" min="17" max="17"/>
    <col width="4.25" customWidth="1" style="25" min="18" max="18"/>
    <col width="3" customWidth="1" style="25" min="19" max="19"/>
    <col width="3.75" customWidth="1" style="25" min="20" max="20"/>
    <col width="2" customWidth="1" style="25" min="21" max="21"/>
    <col width="3" customWidth="1" style="25" min="22" max="23"/>
    <col width="1.625" customWidth="1" style="25" min="24" max="24"/>
    <col width="2.875" customWidth="1" style="25" min="25" max="25"/>
    <col width="3" customWidth="1" style="25" min="26" max="27"/>
    <col width="2.875" customWidth="1" style="25" min="28" max="28"/>
    <col width="3" customWidth="1" style="25" min="29" max="30"/>
    <col width="1.875" customWidth="1" style="25" min="31" max="31"/>
    <col width="2.5" customWidth="1" style="25" min="32" max="32"/>
    <col width="1.625" customWidth="1" style="25" min="33" max="33"/>
    <col width="9" customWidth="1" style="25" min="34" max="34"/>
    <col width="3.125" customWidth="1" style="25" min="35" max="83"/>
    <col width="9" customWidth="1" style="25" min="84" max="16384"/>
  </cols>
  <sheetData>
    <row r="1" ht="50.25" customHeight="1" s="227" thickBot="1">
      <c r="A1" s="25" t="inlineStr">
        <is>
          <t>ss</t>
        </is>
      </c>
      <c r="C1" s="124" t="inlineStr">
        <is>
          <t>견    적    서</t>
        </is>
      </c>
    </row>
    <row r="2" ht="21.75" customHeight="1" s="227">
      <c r="C2" s="125" t="inlineStr">
        <is>
          <t>수신</t>
        </is>
      </c>
      <c r="D2" s="128" t="inlineStr">
        <is>
          <t>상  호</t>
        </is>
      </c>
      <c r="E2" s="271" t="n"/>
      <c r="F2" s="132" t="inlineStr">
        <is>
          <t>한양수자인 사가정파크 입주자대표회의</t>
        </is>
      </c>
      <c r="G2" s="272" t="n"/>
      <c r="H2" s="272" t="n"/>
      <c r="I2" s="272" t="n"/>
      <c r="J2" s="272" t="n"/>
      <c r="K2" s="272" t="n"/>
      <c r="L2" s="272" t="n"/>
      <c r="M2" s="272" t="n"/>
      <c r="N2" s="272" t="n"/>
      <c r="O2" s="271" t="n"/>
      <c r="P2" s="26" t="n"/>
      <c r="Q2" s="27" t="n"/>
      <c r="R2" s="136" t="inlineStr">
        <is>
          <t>발신</t>
        </is>
      </c>
      <c r="S2" s="139" t="inlineStr">
        <is>
          <t>상  호</t>
        </is>
      </c>
      <c r="T2" s="273" t="n"/>
      <c r="U2" s="274" t="inlineStr">
        <is>
          <t>주식회사 해광</t>
        </is>
      </c>
      <c r="V2" s="275" t="n"/>
      <c r="W2" s="275" t="n"/>
      <c r="X2" s="275" t="n"/>
      <c r="Y2" s="275" t="n"/>
      <c r="Z2" s="275" t="n"/>
      <c r="AA2" s="275" t="n"/>
      <c r="AB2" s="275" t="n"/>
      <c r="AC2" s="275" t="n"/>
      <c r="AD2" s="275" t="n"/>
      <c r="AE2" s="275" t="n"/>
      <c r="AF2" s="276" t="n"/>
    </row>
    <row r="3" ht="18" customHeight="1" s="227">
      <c r="C3" s="277" t="n"/>
      <c r="D3" s="278" t="n"/>
      <c r="E3" s="279" t="n"/>
      <c r="F3" s="280" t="n"/>
      <c r="G3" s="281" t="n"/>
      <c r="H3" s="281" t="n"/>
      <c r="I3" s="281" t="n"/>
      <c r="J3" s="281" t="n"/>
      <c r="K3" s="281" t="n"/>
      <c r="L3" s="281" t="n"/>
      <c r="M3" s="281" t="n"/>
      <c r="N3" s="281" t="n"/>
      <c r="O3" s="279" t="n"/>
      <c r="P3" s="26" t="n"/>
      <c r="Q3" s="27" t="n"/>
      <c r="R3" s="282" t="n"/>
      <c r="S3" s="143" t="inlineStr">
        <is>
          <t>대  표</t>
        </is>
      </c>
      <c r="T3" s="265" t="n"/>
      <c r="U3" s="144" t="inlineStr">
        <is>
          <t>정광호</t>
        </is>
      </c>
      <c r="V3" s="264" t="n"/>
      <c r="W3" s="264" t="n"/>
      <c r="X3" s="264" t="n"/>
      <c r="Y3" s="264" t="n"/>
      <c r="Z3" s="264" t="n"/>
      <c r="AA3" s="264" t="n"/>
      <c r="AB3" s="264" t="n"/>
      <c r="AC3" s="147" t="inlineStr">
        <is>
          <t>(인)</t>
        </is>
      </c>
      <c r="AD3" s="264" t="n"/>
      <c r="AE3" s="264" t="n"/>
      <c r="AF3" s="283" t="n"/>
    </row>
    <row r="4" ht="18" customHeight="1" s="227">
      <c r="C4" s="277" t="n"/>
      <c r="D4" s="130" t="inlineStr">
        <is>
          <t>담  당</t>
        </is>
      </c>
      <c r="E4" s="265" t="n"/>
      <c r="F4" s="163" t="n"/>
      <c r="G4" s="264" t="n"/>
      <c r="H4" s="264" t="n"/>
      <c r="I4" s="264" t="n"/>
      <c r="J4" s="264" t="n"/>
      <c r="K4" s="264" t="n"/>
      <c r="L4" s="264" t="n"/>
      <c r="M4" s="264" t="n"/>
      <c r="N4" s="264" t="n"/>
      <c r="O4" s="265" t="n"/>
      <c r="P4" s="28" t="n"/>
      <c r="Q4" s="29" t="n"/>
      <c r="R4" s="282" t="n"/>
      <c r="S4" s="143" t="inlineStr">
        <is>
          <t>전  화</t>
        </is>
      </c>
      <c r="T4" s="265" t="n"/>
      <c r="U4" s="165" t="inlineStr">
        <is>
          <t>직통  010-9844-8917</t>
        </is>
      </c>
      <c r="V4" s="264" t="n"/>
      <c r="W4" s="264" t="n"/>
      <c r="X4" s="264" t="n"/>
      <c r="Y4" s="264" t="n"/>
      <c r="Z4" s="264" t="n"/>
      <c r="AA4" s="264" t="n"/>
      <c r="AB4" s="264" t="n"/>
      <c r="AC4" s="264" t="n"/>
      <c r="AD4" s="264" t="n"/>
      <c r="AE4" s="264" t="n"/>
      <c r="AF4" s="265" t="n"/>
    </row>
    <row r="5" ht="18" customHeight="1" s="227">
      <c r="C5" s="277" t="n"/>
      <c r="D5" s="130" t="inlineStr">
        <is>
          <t>전  화</t>
        </is>
      </c>
      <c r="E5" s="265" t="n"/>
      <c r="F5" s="168" t="inlineStr">
        <is>
          <t>02-496-9866</t>
        </is>
      </c>
      <c r="G5" s="264" t="n"/>
      <c r="H5" s="264" t="n"/>
      <c r="I5" s="264" t="n"/>
      <c r="J5" s="264" t="n"/>
      <c r="K5" s="264" t="n"/>
      <c r="L5" s="264" t="n"/>
      <c r="M5" s="264" t="n"/>
      <c r="N5" s="264" t="n"/>
      <c r="O5" s="265" t="n"/>
      <c r="P5" s="30" t="n"/>
      <c r="Q5" s="29" t="n"/>
      <c r="R5" s="282" t="n"/>
      <c r="S5" s="143" t="inlineStr">
        <is>
          <t>팩  스</t>
        </is>
      </c>
      <c r="T5" s="265" t="n"/>
      <c r="U5" s="165" t="inlineStr">
        <is>
          <t>031-592-4169</t>
        </is>
      </c>
      <c r="V5" s="264" t="n"/>
      <c r="W5" s="264" t="n"/>
      <c r="X5" s="264" t="n"/>
      <c r="Y5" s="264" t="n"/>
      <c r="Z5" s="264" t="n"/>
      <c r="AA5" s="264" t="n"/>
      <c r="AB5" s="264" t="n"/>
      <c r="AC5" s="264" t="n"/>
      <c r="AD5" s="264" t="n"/>
      <c r="AE5" s="264" t="n"/>
      <c r="AF5" s="265" t="n"/>
    </row>
    <row r="6" ht="18" customHeight="1" s="227" thickBot="1">
      <c r="C6" s="278" t="n"/>
      <c r="D6" s="148" t="inlineStr">
        <is>
          <t>팩  스</t>
        </is>
      </c>
      <c r="E6" s="284" t="n"/>
      <c r="F6" s="150" t="inlineStr">
        <is>
          <t>02-495-9866</t>
        </is>
      </c>
      <c r="G6" s="285" t="n"/>
      <c r="H6" s="285" t="n"/>
      <c r="I6" s="285" t="n"/>
      <c r="J6" s="285" t="n"/>
      <c r="K6" s="285" t="n"/>
      <c r="L6" s="285" t="n"/>
      <c r="M6" s="285" t="n"/>
      <c r="N6" s="285" t="n"/>
      <c r="O6" s="284" t="n"/>
      <c r="P6" s="30" t="n"/>
      <c r="Q6" s="29" t="n"/>
      <c r="R6" s="282" t="n"/>
      <c r="S6" s="143" t="inlineStr">
        <is>
          <t>주  소</t>
        </is>
      </c>
      <c r="T6" s="286" t="n"/>
      <c r="U6" s="152" t="inlineStr">
        <is>
          <t>메일 - hk5924161@hanmail.net</t>
        </is>
      </c>
      <c r="V6" s="264" t="n"/>
      <c r="W6" s="264" t="n"/>
      <c r="X6" s="264" t="n"/>
      <c r="Y6" s="264" t="n"/>
      <c r="Z6" s="264" t="n"/>
      <c r="AA6" s="264" t="n"/>
      <c r="AB6" s="264" t="n"/>
      <c r="AC6" s="264" t="n"/>
      <c r="AD6" s="264" t="n"/>
      <c r="AE6" s="264" t="n"/>
      <c r="AF6" s="265" t="n"/>
    </row>
    <row r="7" ht="6.75" customHeight="1" s="227" thickBot="1"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R7" s="282" t="n"/>
      <c r="T7" s="287" t="n"/>
      <c r="U7" s="153" t="inlineStr">
        <is>
          <t>경기도 남양주시 화도읍 녹촌로199번길 20</t>
        </is>
      </c>
      <c r="V7" s="288" t="n"/>
      <c r="W7" s="288" t="n"/>
      <c r="X7" s="288" t="n"/>
      <c r="Y7" s="288" t="n"/>
      <c r="Z7" s="288" t="n"/>
      <c r="AA7" s="288" t="n"/>
      <c r="AB7" s="288" t="n"/>
      <c r="AC7" s="288" t="n"/>
      <c r="AD7" s="288" t="n"/>
      <c r="AE7" s="288" t="n"/>
      <c r="AF7" s="289" t="n"/>
    </row>
    <row r="8" ht="17.25" customHeight="1" s="227">
      <c r="C8" s="32" t="inlineStr">
        <is>
          <t>견 적 일 자</t>
        </is>
      </c>
      <c r="D8" s="33" t="n"/>
      <c r="E8" s="34" t="n"/>
      <c r="F8" s="290">
        <f>TODAY()</f>
        <v/>
      </c>
      <c r="G8" s="275" t="n"/>
      <c r="H8" s="275" t="n"/>
      <c r="I8" s="275" t="n"/>
      <c r="J8" s="275" t="n"/>
      <c r="K8" s="275" t="n"/>
      <c r="L8" s="275" t="n"/>
      <c r="M8" s="275" t="n"/>
      <c r="N8" s="275" t="n"/>
      <c r="O8" s="276" t="n"/>
      <c r="P8" s="35" t="n"/>
      <c r="Q8" s="31" t="n"/>
      <c r="R8" s="282" t="n"/>
      <c r="S8" s="281" t="n"/>
      <c r="T8" s="279" t="n"/>
      <c r="U8" s="280" t="n"/>
      <c r="V8" s="281" t="n"/>
      <c r="W8" s="281" t="n"/>
      <c r="X8" s="281" t="n"/>
      <c r="Y8" s="281" t="n"/>
      <c r="Z8" s="281" t="n"/>
      <c r="AA8" s="281" t="n"/>
      <c r="AB8" s="281" t="n"/>
      <c r="AC8" s="281" t="n"/>
      <c r="AD8" s="281" t="n"/>
      <c r="AE8" s="281" t="n"/>
      <c r="AF8" s="291" t="n"/>
    </row>
    <row r="9" ht="18" customHeight="1" s="227" thickBot="1">
      <c r="C9" s="292" t="inlineStr">
        <is>
          <t>견적유효일</t>
        </is>
      </c>
      <c r="D9" s="293" t="n"/>
      <c r="E9" s="294" t="n"/>
      <c r="F9" s="36" t="inlineStr">
        <is>
          <t>견적일로부터 30일</t>
        </is>
      </c>
      <c r="G9" s="37" t="n"/>
      <c r="H9" s="37" t="n"/>
      <c r="I9" s="37" t="n"/>
      <c r="J9" s="37" t="n"/>
      <c r="K9" s="37" t="n"/>
      <c r="L9" s="37" t="n"/>
      <c r="M9" s="37" t="n"/>
      <c r="N9" s="37" t="n"/>
      <c r="O9" s="38" t="n"/>
      <c r="P9" s="39" t="n"/>
      <c r="R9" s="295" t="n"/>
      <c r="S9" s="182" t="inlineStr">
        <is>
          <t>담  당</t>
        </is>
      </c>
      <c r="T9" s="284" t="n"/>
      <c r="U9" s="184" t="inlineStr">
        <is>
          <t>유효진</t>
        </is>
      </c>
      <c r="V9" s="285" t="n"/>
      <c r="W9" s="285" t="n"/>
      <c r="X9" s="285" t="n"/>
      <c r="Y9" s="285" t="n"/>
      <c r="Z9" s="285" t="n"/>
      <c r="AA9" s="285" t="n"/>
      <c r="AB9" s="296" t="inlineStr">
        <is>
          <t xml:space="preserve">과장 </t>
        </is>
      </c>
      <c r="AC9" s="285" t="n"/>
      <c r="AD9" s="285" t="n"/>
      <c r="AE9" s="285" t="n"/>
      <c r="AF9" s="297" t="n"/>
    </row>
    <row r="10" ht="2.25" customHeight="1" s="227"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</row>
    <row r="11" ht="15" customHeight="1" s="227">
      <c r="C11" s="40" t="inlineStr">
        <is>
          <t>♣ 귀사의 무궁한 발전을 기원합니다.</t>
        </is>
      </c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4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</row>
    <row r="12" ht="15" customHeight="1" s="227">
      <c r="C12" s="40" t="inlineStr">
        <is>
          <t>♣ 아래와 같이 견적 하오니 업무에 참조 하시기 바랍니다.</t>
        </is>
      </c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</row>
    <row r="13" ht="2.25" customHeight="1" s="227" thickBot="1"/>
    <row r="14" ht="16.5" customFormat="1" customHeight="1" s="46">
      <c r="A14" s="42" t="n"/>
      <c r="B14" s="43" t="n"/>
      <c r="C14" s="44" t="inlineStr">
        <is>
          <t>No.</t>
        </is>
      </c>
      <c r="D14" s="170" t="inlineStr">
        <is>
          <t>품명 및 규격</t>
        </is>
      </c>
      <c r="E14" s="275" t="n"/>
      <c r="F14" s="275" t="n"/>
      <c r="G14" s="275" t="n"/>
      <c r="H14" s="275" t="n"/>
      <c r="I14" s="275" t="n"/>
      <c r="J14" s="275" t="n"/>
      <c r="K14" s="275" t="n"/>
      <c r="L14" s="275" t="n"/>
      <c r="M14" s="275" t="n"/>
      <c r="N14" s="275" t="n"/>
      <c r="O14" s="273" t="n"/>
      <c r="P14" s="170" t="inlineStr">
        <is>
          <t>단위</t>
        </is>
      </c>
      <c r="Q14" s="273" t="n"/>
      <c r="R14" s="45" t="inlineStr">
        <is>
          <t>수량</t>
        </is>
      </c>
      <c r="S14" s="170" t="inlineStr">
        <is>
          <t>단가</t>
        </is>
      </c>
      <c r="T14" s="275" t="n"/>
      <c r="U14" s="273" t="n"/>
      <c r="V14" s="170" t="inlineStr">
        <is>
          <t>금액</t>
        </is>
      </c>
      <c r="W14" s="275" t="n"/>
      <c r="X14" s="275" t="n"/>
      <c r="Y14" s="273" t="n"/>
      <c r="Z14" s="170" t="inlineStr">
        <is>
          <t>세액</t>
        </is>
      </c>
      <c r="AA14" s="275" t="n"/>
      <c r="AB14" s="273" t="n"/>
      <c r="AC14" s="170" t="inlineStr">
        <is>
          <t>비고</t>
        </is>
      </c>
      <c r="AD14" s="275" t="n"/>
      <c r="AE14" s="275" t="n"/>
      <c r="AF14" s="273" t="n"/>
    </row>
    <row r="15">
      <c r="A15" s="47" t="n"/>
      <c r="C15" s="48" t="n">
        <v>1</v>
      </c>
      <c r="D15" s="298">
        <f>자재피아기본견적!A2</f>
        <v/>
      </c>
      <c r="E15" s="264" t="n"/>
      <c r="F15" s="264" t="n"/>
      <c r="G15" s="264" t="n"/>
      <c r="H15" s="264" t="n"/>
      <c r="I15" s="264" t="n"/>
      <c r="J15" s="264" t="n"/>
      <c r="K15" s="264" t="n"/>
      <c r="L15" s="264" t="n"/>
      <c r="M15" s="264" t="n"/>
      <c r="N15" s="264" t="n"/>
      <c r="O15" s="265" t="n"/>
      <c r="P15" s="172" t="n"/>
      <c r="Q15" s="265" t="n"/>
      <c r="R15" s="299">
        <f>자재피아기본견적!B2</f>
        <v/>
      </c>
      <c r="S15" s="300">
        <f>ROUND(자재피아기본견적!C2*(1+0.2),-2)</f>
        <v/>
      </c>
      <c r="T15" s="264" t="n"/>
      <c r="U15" s="265" t="n"/>
      <c r="V15" s="300">
        <f>R15*S15</f>
        <v/>
      </c>
      <c r="W15" s="264" t="n"/>
      <c r="X15" s="264" t="n"/>
      <c r="Y15" s="265" t="n"/>
      <c r="Z15" s="300">
        <f>V15*0.1</f>
        <v/>
      </c>
      <c r="AA15" s="264" t="n"/>
      <c r="AB15" s="265" t="n"/>
      <c r="AC15" s="174" t="n"/>
      <c r="AD15" s="264" t="n"/>
      <c r="AE15" s="264" t="n"/>
      <c r="AF15" s="265" t="n"/>
    </row>
    <row r="16">
      <c r="A16" s="47" t="n"/>
      <c r="C16" s="48" t="n">
        <v>2</v>
      </c>
      <c r="D16" s="298">
        <f>자재피아기본견적!A3</f>
        <v/>
      </c>
      <c r="E16" s="264" t="n"/>
      <c r="F16" s="264" t="n"/>
      <c r="G16" s="264" t="n"/>
      <c r="H16" s="264" t="n"/>
      <c r="I16" s="264" t="n"/>
      <c r="J16" s="264" t="n"/>
      <c r="K16" s="264" t="n"/>
      <c r="L16" s="264" t="n"/>
      <c r="M16" s="264" t="n"/>
      <c r="N16" s="264" t="n"/>
      <c r="O16" s="265" t="n"/>
      <c r="P16" s="172" t="n"/>
      <c r="Q16" s="265" t="n"/>
      <c r="R16" s="299">
        <f>자재피아기본견적!B3</f>
        <v/>
      </c>
      <c r="S16" s="300">
        <f>ROUND(자재피아기본견적!C3*(1+0.2),-2)</f>
        <v/>
      </c>
      <c r="T16" s="264" t="n"/>
      <c r="U16" s="265" t="n"/>
      <c r="V16" s="300">
        <f>R16*S16</f>
        <v/>
      </c>
      <c r="W16" s="264" t="n"/>
      <c r="X16" s="264" t="n"/>
      <c r="Y16" s="265" t="n"/>
      <c r="Z16" s="300">
        <f>V16*0.1</f>
        <v/>
      </c>
      <c r="AA16" s="264" t="n"/>
      <c r="AB16" s="265" t="n"/>
      <c r="AC16" s="174" t="n"/>
      <c r="AD16" s="264" t="n"/>
      <c r="AE16" s="264" t="n"/>
      <c r="AF16" s="265" t="n"/>
    </row>
    <row r="17">
      <c r="A17" s="47" t="n"/>
      <c r="C17" s="48" t="n">
        <v>3</v>
      </c>
      <c r="D17" s="298">
        <f>자재피아기본견적!A4</f>
        <v/>
      </c>
      <c r="E17" s="264" t="n"/>
      <c r="F17" s="264" t="n"/>
      <c r="G17" s="264" t="n"/>
      <c r="H17" s="264" t="n"/>
      <c r="I17" s="264" t="n"/>
      <c r="J17" s="264" t="n"/>
      <c r="K17" s="264" t="n"/>
      <c r="L17" s="264" t="n"/>
      <c r="M17" s="264" t="n"/>
      <c r="N17" s="264" t="n"/>
      <c r="O17" s="265" t="n"/>
      <c r="P17" s="172" t="n"/>
      <c r="Q17" s="265" t="n"/>
      <c r="R17" s="299">
        <f>자재피아기본견적!B4</f>
        <v/>
      </c>
      <c r="S17" s="300">
        <f>ROUND(자재피아기본견적!C4*(1+0.2),-2)</f>
        <v/>
      </c>
      <c r="T17" s="264" t="n"/>
      <c r="U17" s="265" t="n"/>
      <c r="V17" s="300">
        <f>R17*S17</f>
        <v/>
      </c>
      <c r="W17" s="264" t="n"/>
      <c r="X17" s="264" t="n"/>
      <c r="Y17" s="265" t="n"/>
      <c r="Z17" s="300">
        <f>V17*0.1</f>
        <v/>
      </c>
      <c r="AA17" s="264" t="n"/>
      <c r="AB17" s="265" t="n"/>
      <c r="AC17" s="174" t="n"/>
      <c r="AD17" s="264" t="n"/>
      <c r="AE17" s="264" t="n"/>
      <c r="AF17" s="265" t="n"/>
    </row>
    <row r="18">
      <c r="A18" s="47" t="n"/>
      <c r="C18" s="48" t="n">
        <v>4</v>
      </c>
      <c r="D18" s="298">
        <f>자재피아기본견적!A5</f>
        <v/>
      </c>
      <c r="E18" s="264" t="n"/>
      <c r="F18" s="264" t="n"/>
      <c r="G18" s="264" t="n"/>
      <c r="H18" s="264" t="n"/>
      <c r="I18" s="264" t="n"/>
      <c r="J18" s="264" t="n"/>
      <c r="K18" s="264" t="n"/>
      <c r="L18" s="264" t="n"/>
      <c r="M18" s="264" t="n"/>
      <c r="N18" s="264" t="n"/>
      <c r="O18" s="265" t="n"/>
      <c r="P18" s="172" t="n"/>
      <c r="Q18" s="265" t="n"/>
      <c r="R18" s="299">
        <f>자재피아기본견적!B5</f>
        <v/>
      </c>
      <c r="S18" s="300">
        <f>ROUND(자재피아기본견적!C5*(1+0.2),-2)</f>
        <v/>
      </c>
      <c r="T18" s="264" t="n"/>
      <c r="U18" s="265" t="n"/>
      <c r="V18" s="300">
        <f>R18*S18</f>
        <v/>
      </c>
      <c r="W18" s="264" t="n"/>
      <c r="X18" s="264" t="n"/>
      <c r="Y18" s="265" t="n"/>
      <c r="Z18" s="300">
        <f>V18*0.1</f>
        <v/>
      </c>
      <c r="AA18" s="264" t="n"/>
      <c r="AB18" s="265" t="n"/>
      <c r="AC18" s="174" t="n"/>
      <c r="AD18" s="264" t="n"/>
      <c r="AE18" s="264" t="n"/>
      <c r="AF18" s="265" t="n"/>
    </row>
    <row r="19">
      <c r="A19" s="47" t="n"/>
      <c r="C19" s="48" t="n">
        <v>5</v>
      </c>
      <c r="D19" s="298">
        <f>자재피아기본견적!A6</f>
        <v/>
      </c>
      <c r="E19" s="264" t="n"/>
      <c r="F19" s="264" t="n"/>
      <c r="G19" s="264" t="n"/>
      <c r="H19" s="264" t="n"/>
      <c r="I19" s="264" t="n"/>
      <c r="J19" s="264" t="n"/>
      <c r="K19" s="264" t="n"/>
      <c r="L19" s="264" t="n"/>
      <c r="M19" s="264" t="n"/>
      <c r="N19" s="264" t="n"/>
      <c r="O19" s="265" t="n"/>
      <c r="P19" s="172" t="n"/>
      <c r="Q19" s="265" t="n"/>
      <c r="R19" s="299">
        <f>자재피아기본견적!B6</f>
        <v/>
      </c>
      <c r="S19" s="300">
        <f>ROUND(자재피아기본견적!C6*(1+0.2),-2)</f>
        <v/>
      </c>
      <c r="T19" s="264" t="n"/>
      <c r="U19" s="265" t="n"/>
      <c r="V19" s="300">
        <f>R19*S19</f>
        <v/>
      </c>
      <c r="W19" s="264" t="n"/>
      <c r="X19" s="264" t="n"/>
      <c r="Y19" s="265" t="n"/>
      <c r="Z19" s="300">
        <f>V19*0.1</f>
        <v/>
      </c>
      <c r="AA19" s="264" t="n"/>
      <c r="AB19" s="265" t="n"/>
      <c r="AC19" s="174" t="n"/>
      <c r="AD19" s="264" t="n"/>
      <c r="AE19" s="264" t="n"/>
      <c r="AF19" s="265" t="n"/>
    </row>
    <row r="20">
      <c r="A20" s="47" t="n"/>
      <c r="C20" s="48" t="n">
        <v>6</v>
      </c>
      <c r="D20" s="298">
        <f>자재피아기본견적!A7</f>
        <v/>
      </c>
      <c r="E20" s="264" t="n"/>
      <c r="F20" s="264" t="n"/>
      <c r="G20" s="264" t="n"/>
      <c r="H20" s="264" t="n"/>
      <c r="I20" s="264" t="n"/>
      <c r="J20" s="264" t="n"/>
      <c r="K20" s="264" t="n"/>
      <c r="L20" s="264" t="n"/>
      <c r="M20" s="264" t="n"/>
      <c r="N20" s="264" t="n"/>
      <c r="O20" s="265" t="n"/>
      <c r="P20" s="172" t="n"/>
      <c r="Q20" s="265" t="n"/>
      <c r="R20" s="299">
        <f>자재피아기본견적!B7</f>
        <v/>
      </c>
      <c r="S20" s="300">
        <f>ROUND(자재피아기본견적!C7*(1+0.2),-2)</f>
        <v/>
      </c>
      <c r="T20" s="264" t="n"/>
      <c r="U20" s="265" t="n"/>
      <c r="V20" s="300">
        <f>R20*S20</f>
        <v/>
      </c>
      <c r="W20" s="264" t="n"/>
      <c r="X20" s="264" t="n"/>
      <c r="Y20" s="265" t="n"/>
      <c r="Z20" s="300">
        <f>V20*0.1</f>
        <v/>
      </c>
      <c r="AA20" s="264" t="n"/>
      <c r="AB20" s="265" t="n"/>
      <c r="AC20" s="174" t="n"/>
      <c r="AD20" s="264" t="n"/>
      <c r="AE20" s="264" t="n"/>
      <c r="AF20" s="265" t="n"/>
    </row>
    <row r="21">
      <c r="A21" s="47" t="n"/>
      <c r="C21" s="48" t="n"/>
      <c r="D21" s="298" t="n"/>
      <c r="E21" s="264" t="n"/>
      <c r="F21" s="264" t="n"/>
      <c r="G21" s="264" t="n"/>
      <c r="H21" s="264" t="n"/>
      <c r="I21" s="264" t="n"/>
      <c r="J21" s="264" t="n"/>
      <c r="K21" s="264" t="n"/>
      <c r="L21" s="264" t="n"/>
      <c r="M21" s="264" t="n"/>
      <c r="N21" s="264" t="n"/>
      <c r="O21" s="265" t="n"/>
      <c r="P21" s="172" t="n"/>
      <c r="Q21" s="265" t="n"/>
      <c r="R21" s="299" t="n"/>
      <c r="S21" s="300" t="n"/>
      <c r="T21" s="264" t="n"/>
      <c r="U21" s="265" t="n"/>
      <c r="V21" s="300" t="n"/>
      <c r="W21" s="264" t="n"/>
      <c r="X21" s="264" t="n"/>
      <c r="Y21" s="265" t="n"/>
      <c r="Z21" s="300" t="n"/>
      <c r="AA21" s="264" t="n"/>
      <c r="AB21" s="265" t="n"/>
      <c r="AC21" s="174" t="n"/>
      <c r="AD21" s="264" t="n"/>
      <c r="AE21" s="264" t="n"/>
      <c r="AF21" s="265" t="n"/>
    </row>
    <row r="22" ht="17.25" customHeight="1" s="227">
      <c r="A22" s="47" t="n"/>
      <c r="C22" s="48" t="n"/>
      <c r="D22" s="298" t="n"/>
      <c r="E22" s="264" t="n"/>
      <c r="F22" s="264" t="n"/>
      <c r="G22" s="264" t="n"/>
      <c r="H22" s="264" t="n"/>
      <c r="I22" s="264" t="n"/>
      <c r="J22" s="264" t="n"/>
      <c r="K22" s="264" t="n"/>
      <c r="L22" s="264" t="n"/>
      <c r="M22" s="264" t="n"/>
      <c r="N22" s="264" t="n"/>
      <c r="O22" s="265" t="n"/>
      <c r="P22" s="172" t="n"/>
      <c r="Q22" s="265" t="n"/>
      <c r="R22" s="299" t="n"/>
      <c r="S22" s="300" t="n"/>
      <c r="T22" s="264" t="n"/>
      <c r="U22" s="265" t="n"/>
      <c r="V22" s="300" t="n"/>
      <c r="W22" s="264" t="n"/>
      <c r="X22" s="264" t="n"/>
      <c r="Y22" s="265" t="n"/>
      <c r="Z22" s="300" t="n"/>
      <c r="AA22" s="264" t="n"/>
      <c r="AB22" s="265" t="n"/>
      <c r="AC22" s="174" t="n"/>
      <c r="AD22" s="264" t="n"/>
      <c r="AE22" s="264" t="n"/>
      <c r="AF22" s="265" t="n"/>
    </row>
    <row r="23" ht="17.25" customHeight="1" s="227">
      <c r="A23" s="47" t="n"/>
      <c r="C23" s="48" t="n"/>
      <c r="D23" s="298" t="n"/>
      <c r="E23" s="264" t="n"/>
      <c r="F23" s="264" t="n"/>
      <c r="G23" s="264" t="n"/>
      <c r="H23" s="264" t="n"/>
      <c r="I23" s="264" t="n"/>
      <c r="J23" s="264" t="n"/>
      <c r="K23" s="264" t="n"/>
      <c r="L23" s="264" t="n"/>
      <c r="M23" s="264" t="n"/>
      <c r="N23" s="264" t="n"/>
      <c r="O23" s="265" t="n"/>
      <c r="P23" s="172" t="n"/>
      <c r="Q23" s="265" t="n"/>
      <c r="R23" s="299" t="n"/>
      <c r="S23" s="300" t="n"/>
      <c r="T23" s="264" t="n"/>
      <c r="U23" s="265" t="n"/>
      <c r="V23" s="300" t="n"/>
      <c r="W23" s="264" t="n"/>
      <c r="X23" s="264" t="n"/>
      <c r="Y23" s="265" t="n"/>
      <c r="Z23" s="300" t="n"/>
      <c r="AA23" s="264" t="n"/>
      <c r="AB23" s="265" t="n"/>
      <c r="AC23" s="174" t="n"/>
      <c r="AD23" s="264" t="n"/>
      <c r="AE23" s="264" t="n"/>
      <c r="AF23" s="265" t="n"/>
    </row>
    <row r="24" ht="17.25" customHeight="1" s="227">
      <c r="A24" s="47" t="n"/>
      <c r="C24" s="48" t="n"/>
      <c r="D24" s="298" t="n"/>
      <c r="E24" s="264" t="n"/>
      <c r="F24" s="264" t="n"/>
      <c r="G24" s="264" t="n"/>
      <c r="H24" s="264" t="n"/>
      <c r="I24" s="264" t="n"/>
      <c r="J24" s="264" t="n"/>
      <c r="K24" s="264" t="n"/>
      <c r="L24" s="264" t="n"/>
      <c r="M24" s="264" t="n"/>
      <c r="N24" s="264" t="n"/>
      <c r="O24" s="265" t="n"/>
      <c r="P24" s="172" t="n"/>
      <c r="Q24" s="265" t="n"/>
      <c r="R24" s="299" t="n"/>
      <c r="S24" s="300" t="n"/>
      <c r="T24" s="264" t="n"/>
      <c r="U24" s="265" t="n"/>
      <c r="V24" s="300" t="n"/>
      <c r="W24" s="264" t="n"/>
      <c r="X24" s="264" t="n"/>
      <c r="Y24" s="265" t="n"/>
      <c r="Z24" s="300" t="n"/>
      <c r="AA24" s="264" t="n"/>
      <c r="AB24" s="265" t="n"/>
      <c r="AC24" s="174" t="n"/>
      <c r="AD24" s="264" t="n"/>
      <c r="AE24" s="264" t="n"/>
      <c r="AF24" s="265" t="n"/>
    </row>
    <row r="25" ht="17.25" customHeight="1" s="227">
      <c r="A25" s="47" t="n"/>
      <c r="C25" s="48" t="n"/>
      <c r="D25" s="298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5" t="n"/>
      <c r="P25" s="172" t="n"/>
      <c r="Q25" s="265" t="n"/>
      <c r="R25" s="299" t="n"/>
      <c r="S25" s="300" t="n"/>
      <c r="T25" s="264" t="n"/>
      <c r="U25" s="265" t="n"/>
      <c r="V25" s="300" t="n"/>
      <c r="W25" s="264" t="n"/>
      <c r="X25" s="264" t="n"/>
      <c r="Y25" s="265" t="n"/>
      <c r="Z25" s="300" t="n"/>
      <c r="AA25" s="264" t="n"/>
      <c r="AB25" s="265" t="n"/>
      <c r="AC25" s="174" t="n"/>
      <c r="AD25" s="264" t="n"/>
      <c r="AE25" s="264" t="n"/>
      <c r="AF25" s="265" t="n"/>
    </row>
    <row r="26" ht="17.25" customHeight="1" s="227">
      <c r="A26" s="47" t="n"/>
      <c r="C26" s="48" t="n"/>
      <c r="D26" s="298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5" t="n"/>
      <c r="P26" s="172" t="n"/>
      <c r="Q26" s="265" t="n"/>
      <c r="R26" s="299" t="n"/>
      <c r="S26" s="300" t="n"/>
      <c r="T26" s="264" t="n"/>
      <c r="U26" s="265" t="n"/>
      <c r="V26" s="300" t="n"/>
      <c r="W26" s="264" t="n"/>
      <c r="X26" s="264" t="n"/>
      <c r="Y26" s="265" t="n"/>
      <c r="Z26" s="300" t="n"/>
      <c r="AA26" s="264" t="n"/>
      <c r="AB26" s="265" t="n"/>
      <c r="AC26" s="174" t="n"/>
      <c r="AD26" s="264" t="n"/>
      <c r="AE26" s="264" t="n"/>
      <c r="AF26" s="265" t="n"/>
    </row>
    <row r="27" ht="17.25" customHeight="1" s="227">
      <c r="A27" s="47" t="n"/>
      <c r="C27" s="48" t="n"/>
      <c r="D27" s="298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5" t="n"/>
      <c r="P27" s="172" t="n"/>
      <c r="Q27" s="265" t="n"/>
      <c r="R27" s="299" t="n"/>
      <c r="S27" s="300" t="n"/>
      <c r="T27" s="264" t="n"/>
      <c r="U27" s="265" t="n"/>
      <c r="V27" s="300" t="n"/>
      <c r="W27" s="264" t="n"/>
      <c r="X27" s="264" t="n"/>
      <c r="Y27" s="265" t="n"/>
      <c r="Z27" s="300" t="n"/>
      <c r="AA27" s="264" t="n"/>
      <c r="AB27" s="265" t="n"/>
      <c r="AC27" s="174" t="n"/>
      <c r="AD27" s="264" t="n"/>
      <c r="AE27" s="264" t="n"/>
      <c r="AF27" s="265" t="n"/>
    </row>
    <row r="28" ht="17.25" customHeight="1" s="227">
      <c r="A28" s="47" t="n"/>
      <c r="C28" s="48" t="n"/>
      <c r="D28" s="298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5" t="n"/>
      <c r="P28" s="172" t="n"/>
      <c r="Q28" s="265" t="n"/>
      <c r="R28" s="299" t="n"/>
      <c r="S28" s="300" t="n"/>
      <c r="T28" s="264" t="n"/>
      <c r="U28" s="265" t="n"/>
      <c r="V28" s="300" t="n"/>
      <c r="W28" s="264" t="n"/>
      <c r="X28" s="264" t="n"/>
      <c r="Y28" s="265" t="n"/>
      <c r="Z28" s="300" t="n"/>
      <c r="AA28" s="264" t="n"/>
      <c r="AB28" s="265" t="n"/>
      <c r="AC28" s="174" t="n"/>
      <c r="AD28" s="264" t="n"/>
      <c r="AE28" s="264" t="n"/>
      <c r="AF28" s="265" t="n"/>
    </row>
    <row r="29" ht="17.25" customHeight="1" s="227">
      <c r="A29" s="47" t="n"/>
      <c r="C29" s="48" t="n"/>
      <c r="D29" s="301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5" t="n"/>
      <c r="P29" s="172" t="n"/>
      <c r="Q29" s="265" t="n"/>
      <c r="R29" s="299" t="n"/>
      <c r="S29" s="300" t="n"/>
      <c r="T29" s="264" t="n"/>
      <c r="U29" s="265" t="n"/>
      <c r="V29" s="300" t="n"/>
      <c r="W29" s="264" t="n"/>
      <c r="X29" s="264" t="n"/>
      <c r="Y29" s="265" t="n"/>
      <c r="Z29" s="300" t="n"/>
      <c r="AA29" s="264" t="n"/>
      <c r="AB29" s="265" t="n"/>
      <c r="AC29" s="174" t="n"/>
      <c r="AD29" s="264" t="n"/>
      <c r="AE29" s="264" t="n"/>
      <c r="AF29" s="265" t="n"/>
    </row>
    <row r="30" ht="17.25" customHeight="1" s="227">
      <c r="A30" s="47" t="n"/>
      <c r="C30" s="48" t="n"/>
      <c r="D30" s="301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5" t="n"/>
      <c r="P30" s="172" t="n"/>
      <c r="Q30" s="265" t="n"/>
      <c r="R30" s="299" t="n"/>
      <c r="S30" s="300" t="n"/>
      <c r="T30" s="264" t="n"/>
      <c r="U30" s="265" t="n"/>
      <c r="V30" s="300" t="n"/>
      <c r="W30" s="264" t="n"/>
      <c r="X30" s="264" t="n"/>
      <c r="Y30" s="265" t="n"/>
      <c r="Z30" s="300" t="n"/>
      <c r="AA30" s="264" t="n"/>
      <c r="AB30" s="265" t="n"/>
      <c r="AC30" s="174" t="n"/>
      <c r="AD30" s="264" t="n"/>
      <c r="AE30" s="264" t="n"/>
      <c r="AF30" s="265" t="n"/>
    </row>
    <row r="31" ht="17.25" customHeight="1" s="227">
      <c r="A31" s="47" t="n"/>
      <c r="C31" s="48" t="n"/>
      <c r="D31" s="301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5" t="n"/>
      <c r="P31" s="172" t="n"/>
      <c r="Q31" s="265" t="n"/>
      <c r="R31" s="299" t="n"/>
      <c r="S31" s="300" t="n"/>
      <c r="T31" s="264" t="n"/>
      <c r="U31" s="265" t="n"/>
      <c r="V31" s="300" t="n"/>
      <c r="W31" s="264" t="n"/>
      <c r="X31" s="264" t="n"/>
      <c r="Y31" s="265" t="n"/>
      <c r="Z31" s="300" t="n"/>
      <c r="AA31" s="264" t="n"/>
      <c r="AB31" s="265" t="n"/>
      <c r="AC31" s="174" t="n"/>
      <c r="AD31" s="264" t="n"/>
      <c r="AE31" s="264" t="n"/>
      <c r="AF31" s="265" t="n"/>
    </row>
    <row r="32" ht="17.25" customHeight="1" s="227">
      <c r="A32" s="47" t="n"/>
      <c r="C32" s="48" t="n"/>
      <c r="D32" s="301" t="n"/>
      <c r="E32" s="264" t="n"/>
      <c r="F32" s="264" t="n"/>
      <c r="G32" s="264" t="n"/>
      <c r="H32" s="264" t="n"/>
      <c r="I32" s="264" t="n"/>
      <c r="J32" s="264" t="n"/>
      <c r="K32" s="264" t="n"/>
      <c r="L32" s="264" t="n"/>
      <c r="M32" s="264" t="n"/>
      <c r="N32" s="264" t="n"/>
      <c r="O32" s="265" t="n"/>
      <c r="P32" s="172" t="n"/>
      <c r="Q32" s="265" t="n"/>
      <c r="R32" s="299" t="n"/>
      <c r="S32" s="300" t="n"/>
      <c r="T32" s="264" t="n"/>
      <c r="U32" s="265" t="n"/>
      <c r="V32" s="300" t="n"/>
      <c r="W32" s="264" t="n"/>
      <c r="X32" s="264" t="n"/>
      <c r="Y32" s="265" t="n"/>
      <c r="Z32" s="300" t="n"/>
      <c r="AA32" s="264" t="n"/>
      <c r="AB32" s="265" t="n"/>
      <c r="AC32" s="174" t="n"/>
      <c r="AD32" s="264" t="n"/>
      <c r="AE32" s="264" t="n"/>
      <c r="AF32" s="265" t="n"/>
    </row>
    <row r="33" ht="17.25" customHeight="1" s="227">
      <c r="A33" s="47" t="n"/>
      <c r="C33" s="48" t="n"/>
      <c r="D33" s="301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5" t="n"/>
      <c r="P33" s="172" t="n"/>
      <c r="Q33" s="265" t="n"/>
      <c r="R33" s="299" t="n"/>
      <c r="S33" s="300" t="n"/>
      <c r="T33" s="264" t="n"/>
      <c r="U33" s="265" t="n"/>
      <c r="V33" s="300" t="n"/>
      <c r="W33" s="264" t="n"/>
      <c r="X33" s="264" t="n"/>
      <c r="Y33" s="265" t="n"/>
      <c r="Z33" s="300" t="n"/>
      <c r="AA33" s="264" t="n"/>
      <c r="AB33" s="265" t="n"/>
      <c r="AC33" s="174" t="n"/>
      <c r="AD33" s="264" t="n"/>
      <c r="AE33" s="264" t="n"/>
      <c r="AF33" s="265" t="n"/>
    </row>
    <row r="34" ht="17.25" customHeight="1" s="227">
      <c r="A34" s="47" t="n"/>
      <c r="C34" s="48" t="n"/>
      <c r="D34" s="301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5" t="n"/>
      <c r="P34" s="172" t="n"/>
      <c r="Q34" s="265" t="n"/>
      <c r="R34" s="299" t="n"/>
      <c r="S34" s="300" t="n"/>
      <c r="T34" s="264" t="n"/>
      <c r="U34" s="265" t="n"/>
      <c r="V34" s="300" t="n"/>
      <c r="W34" s="264" t="n"/>
      <c r="X34" s="264" t="n"/>
      <c r="Y34" s="265" t="n"/>
      <c r="Z34" s="300" t="n"/>
      <c r="AA34" s="264" t="n"/>
      <c r="AB34" s="265" t="n"/>
      <c r="AC34" s="174" t="n"/>
      <c r="AD34" s="264" t="n"/>
      <c r="AE34" s="264" t="n"/>
      <c r="AF34" s="265" t="n"/>
    </row>
    <row r="35" ht="6" customHeight="1" s="227" thickBot="1"/>
    <row r="36" ht="24" customHeight="1" s="227" thickBot="1" thickTop="1">
      <c r="C36" s="302" t="inlineStr">
        <is>
          <t>공급가액</t>
        </is>
      </c>
      <c r="D36" s="303" t="n"/>
      <c r="E36" s="304">
        <f>SUM(V15:V20)</f>
        <v/>
      </c>
      <c r="F36" s="305" t="n"/>
      <c r="G36" s="305" t="n"/>
      <c r="H36" s="305" t="n"/>
      <c r="I36" s="303" t="n"/>
      <c r="J36" s="306" t="inlineStr">
        <is>
          <t>세액</t>
        </is>
      </c>
      <c r="K36" s="305" t="n"/>
      <c r="L36" s="305" t="n"/>
      <c r="M36" s="303" t="n"/>
      <c r="N36" s="307">
        <f>E36*0.1</f>
        <v/>
      </c>
      <c r="O36" s="305" t="n"/>
      <c r="P36" s="305" t="n"/>
      <c r="Q36" s="305" t="n"/>
      <c r="R36" s="303" t="n"/>
      <c r="S36" s="308" t="inlineStr">
        <is>
          <t>합계(Total)</t>
        </is>
      </c>
      <c r="T36" s="305" t="n"/>
      <c r="U36" s="305" t="n"/>
      <c r="V36" s="305" t="n"/>
      <c r="W36" s="305" t="n"/>
      <c r="X36" s="303" t="n"/>
      <c r="Y36" s="309">
        <f>E36+N36</f>
        <v/>
      </c>
      <c r="Z36" s="305" t="n"/>
      <c r="AA36" s="305" t="n"/>
      <c r="AB36" s="305" t="n"/>
      <c r="AC36" s="305" t="n"/>
      <c r="AD36" s="305" t="n"/>
      <c r="AE36" s="305" t="n"/>
      <c r="AF36" s="310" t="n"/>
    </row>
    <row r="37" ht="3.75" customHeight="1" s="227" thickBot="1"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50" t="n"/>
      <c r="O37" s="50" t="n"/>
      <c r="P37" s="50" t="n"/>
      <c r="Q37" s="50" t="n"/>
      <c r="R37" s="50" t="n"/>
      <c r="S37" s="50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50" t="n"/>
      <c r="AC37" s="50" t="n"/>
      <c r="AD37" s="50" t="n"/>
      <c r="AE37" s="50" t="n"/>
    </row>
    <row r="38" ht="16.5" customHeight="1" s="227" thickTop="1">
      <c r="C38" s="311" t="inlineStr">
        <is>
          <t>비고</t>
        </is>
      </c>
      <c r="D38" s="312" t="n"/>
      <c r="E38" s="202" t="inlineStr">
        <is>
          <t>★사업자등록증 발송시 연락처/팩스/메일주소 기재하여 당사 팩스/메일로 발송바랍니다</t>
        </is>
      </c>
      <c r="F38" s="313" t="n"/>
      <c r="G38" s="313" t="n"/>
      <c r="H38" s="313" t="n"/>
      <c r="I38" s="313" t="n"/>
      <c r="J38" s="313" t="n"/>
      <c r="K38" s="313" t="n"/>
      <c r="L38" s="313" t="n"/>
      <c r="M38" s="313" t="n"/>
      <c r="N38" s="313" t="n"/>
      <c r="O38" s="313" t="n"/>
      <c r="P38" s="313" t="n"/>
      <c r="Q38" s="313" t="n"/>
      <c r="R38" s="313" t="n"/>
      <c r="S38" s="313" t="n"/>
      <c r="T38" s="313" t="n"/>
      <c r="U38" s="313" t="n"/>
      <c r="V38" s="313" t="n"/>
      <c r="W38" s="313" t="n"/>
      <c r="X38" s="313" t="n"/>
      <c r="Y38" s="313" t="n"/>
      <c r="Z38" s="313" t="n"/>
      <c r="AA38" s="313" t="n"/>
      <c r="AB38" s="313" t="n"/>
      <c r="AC38" s="313" t="n"/>
      <c r="AD38" s="313" t="n"/>
      <c r="AE38" s="313" t="n"/>
      <c r="AF38" s="314" t="n"/>
    </row>
    <row r="39" ht="16.5" customHeight="1" s="227">
      <c r="C39" s="315" t="n"/>
      <c r="D39" s="316" t="n"/>
      <c r="E39" s="204" t="inlineStr">
        <is>
          <t>★계좌번호 - 국민은행(주식회사해광) 825337-04-001189</t>
        </is>
      </c>
      <c r="AF39" s="317" t="n"/>
    </row>
    <row r="40" ht="16.5" customHeight="1" s="227" thickBot="1">
      <c r="C40" s="318" t="n"/>
      <c r="D40" s="319" t="n"/>
      <c r="E40" s="320" t="inlineStr">
        <is>
          <t>홈페이지 www.hk4.co.kr  (네이버 검색창 -  해광애드 )</t>
        </is>
      </c>
      <c r="F40" s="321" t="n"/>
      <c r="G40" s="321" t="n"/>
      <c r="H40" s="321" t="n"/>
      <c r="I40" s="321" t="n"/>
      <c r="J40" s="321" t="n"/>
      <c r="K40" s="321" t="n"/>
      <c r="L40" s="321" t="n"/>
      <c r="M40" s="321" t="n"/>
      <c r="N40" s="321" t="n"/>
      <c r="O40" s="321" t="n"/>
      <c r="P40" s="321" t="n"/>
      <c r="Q40" s="321" t="n"/>
      <c r="R40" s="321" t="n"/>
      <c r="S40" s="321" t="n"/>
      <c r="T40" s="321" t="n"/>
      <c r="U40" s="321" t="n"/>
      <c r="V40" s="321" t="n"/>
      <c r="W40" s="321" t="n"/>
      <c r="X40" s="321" t="n"/>
      <c r="Y40" s="321" t="n"/>
      <c r="Z40" s="321" t="n"/>
      <c r="AA40" s="321" t="n"/>
      <c r="AB40" s="321" t="n"/>
      <c r="AC40" s="321" t="n"/>
      <c r="AD40" s="321" t="n"/>
      <c r="AE40" s="321" t="n"/>
      <c r="AF40" s="322" t="n"/>
    </row>
    <row r="41" ht="3" customHeight="1" s="227" thickTop="1"/>
    <row r="42" ht="24" customHeight="1" s="227">
      <c r="C42" s="208" t="inlineStr">
        <is>
          <t>주식회사 해광</t>
        </is>
      </c>
    </row>
  </sheetData>
  <mergeCells count="165">
    <mergeCell ref="V32:Y32"/>
    <mergeCell ref="V26:Y26"/>
    <mergeCell ref="S14:U14"/>
    <mergeCell ref="AC22:AF22"/>
    <mergeCell ref="S23:U23"/>
    <mergeCell ref="P20:Q20"/>
    <mergeCell ref="Z18:AB18"/>
    <mergeCell ref="V16:Y16"/>
    <mergeCell ref="R2:R9"/>
    <mergeCell ref="V25:Y25"/>
    <mergeCell ref="Z17:AB17"/>
    <mergeCell ref="P22:Q22"/>
    <mergeCell ref="D6:E6"/>
    <mergeCell ref="V18:Y18"/>
    <mergeCell ref="S15:U15"/>
    <mergeCell ref="D28:O28"/>
    <mergeCell ref="S24:U24"/>
    <mergeCell ref="U9:AA9"/>
    <mergeCell ref="V17:Y17"/>
    <mergeCell ref="AC32:AF32"/>
    <mergeCell ref="Z20:AB20"/>
    <mergeCell ref="AB9:AF9"/>
    <mergeCell ref="D30:O30"/>
    <mergeCell ref="D15:O15"/>
    <mergeCell ref="U3:AB3"/>
    <mergeCell ref="D29:O29"/>
    <mergeCell ref="D23:O23"/>
    <mergeCell ref="P32:Q32"/>
    <mergeCell ref="V20:Y20"/>
    <mergeCell ref="Z31:AB31"/>
    <mergeCell ref="C36:D36"/>
    <mergeCell ref="V29:Y29"/>
    <mergeCell ref="D4:E4"/>
    <mergeCell ref="E39:AF39"/>
    <mergeCell ref="AC24:AF24"/>
    <mergeCell ref="S25:U25"/>
    <mergeCell ref="S9:T9"/>
    <mergeCell ref="AC33:AF33"/>
    <mergeCell ref="V31:Y31"/>
    <mergeCell ref="S27:U27"/>
    <mergeCell ref="P15:Q15"/>
    <mergeCell ref="AC26:AF26"/>
    <mergeCell ref="S5:T5"/>
    <mergeCell ref="P24:Q24"/>
    <mergeCell ref="P33:Q33"/>
    <mergeCell ref="Z26:AB26"/>
    <mergeCell ref="V15:Y15"/>
    <mergeCell ref="S17:U17"/>
    <mergeCell ref="S4:T4"/>
    <mergeCell ref="AC19:AF19"/>
    <mergeCell ref="AC25:AF25"/>
    <mergeCell ref="P26:Q26"/>
    <mergeCell ref="D27:O27"/>
    <mergeCell ref="S28:U28"/>
    <mergeCell ref="P25:Q25"/>
    <mergeCell ref="D17:O17"/>
    <mergeCell ref="P34:Q34"/>
    <mergeCell ref="F2:O3"/>
    <mergeCell ref="Z33:AB33"/>
    <mergeCell ref="S36:X36"/>
    <mergeCell ref="V33:Y33"/>
    <mergeCell ref="AC28:AF28"/>
    <mergeCell ref="D25:O25"/>
    <mergeCell ref="Z19:AB19"/>
    <mergeCell ref="Z34:AB34"/>
    <mergeCell ref="Z28:AB28"/>
    <mergeCell ref="S32:U32"/>
    <mergeCell ref="U7:AF8"/>
    <mergeCell ref="S26:U26"/>
    <mergeCell ref="AC30:AF30"/>
    <mergeCell ref="D14:O14"/>
    <mergeCell ref="P28:Q28"/>
    <mergeCell ref="V19:Y19"/>
    <mergeCell ref="V34:Y34"/>
    <mergeCell ref="Z30:AB30"/>
    <mergeCell ref="AC15:AF15"/>
    <mergeCell ref="V28:Y28"/>
    <mergeCell ref="S16:U16"/>
    <mergeCell ref="AC23:AF23"/>
    <mergeCell ref="J36:M36"/>
    <mergeCell ref="P30:Q30"/>
    <mergeCell ref="C38:D40"/>
    <mergeCell ref="D31:O31"/>
    <mergeCell ref="V30:Y30"/>
    <mergeCell ref="S18:U18"/>
    <mergeCell ref="P14:Q14"/>
    <mergeCell ref="C42:AF42"/>
    <mergeCell ref="N36:R36"/>
    <mergeCell ref="D21:O21"/>
    <mergeCell ref="C2:C6"/>
    <mergeCell ref="U2:AF2"/>
    <mergeCell ref="C9:E9"/>
    <mergeCell ref="D32:O32"/>
    <mergeCell ref="S3:T3"/>
    <mergeCell ref="S34:U34"/>
    <mergeCell ref="AC27:AF27"/>
    <mergeCell ref="D16:O16"/>
    <mergeCell ref="V21:Y21"/>
    <mergeCell ref="AC17:AF17"/>
    <mergeCell ref="D18:O18"/>
    <mergeCell ref="S30:U30"/>
    <mergeCell ref="P27:Q27"/>
    <mergeCell ref="V23:Y23"/>
    <mergeCell ref="S20:U20"/>
    <mergeCell ref="F6:O6"/>
    <mergeCell ref="S29:U29"/>
    <mergeCell ref="P17:Q17"/>
    <mergeCell ref="Z24:AB24"/>
    <mergeCell ref="AC3:AF3"/>
    <mergeCell ref="S22:U22"/>
    <mergeCell ref="S31:U31"/>
    <mergeCell ref="P19:Q19"/>
    <mergeCell ref="U4:AF4"/>
    <mergeCell ref="V24:Y24"/>
    <mergeCell ref="D20:O20"/>
    <mergeCell ref="Y36:AF36"/>
    <mergeCell ref="D34:O34"/>
    <mergeCell ref="Z27:AB27"/>
    <mergeCell ref="S21:U21"/>
    <mergeCell ref="AC14:AF14"/>
    <mergeCell ref="U6:AF6"/>
    <mergeCell ref="D5:E5"/>
    <mergeCell ref="AC29:AF29"/>
    <mergeCell ref="D22:O22"/>
    <mergeCell ref="V27:Y27"/>
    <mergeCell ref="AC31:AF31"/>
    <mergeCell ref="P29:Q29"/>
    <mergeCell ref="Z22:AB22"/>
    <mergeCell ref="AC21:AF21"/>
    <mergeCell ref="C1:AF1"/>
    <mergeCell ref="Z21:AB21"/>
    <mergeCell ref="P31:Q31"/>
    <mergeCell ref="V22:Y22"/>
    <mergeCell ref="S19:U19"/>
    <mergeCell ref="S2:T2"/>
    <mergeCell ref="S33:U33"/>
    <mergeCell ref="P21:Q21"/>
    <mergeCell ref="Z14:AB14"/>
    <mergeCell ref="Z29:AB29"/>
    <mergeCell ref="Z23:AB23"/>
    <mergeCell ref="F4:O4"/>
    <mergeCell ref="AC16:AF16"/>
    <mergeCell ref="P23:Q23"/>
    <mergeCell ref="V14:Y14"/>
    <mergeCell ref="D24:O24"/>
    <mergeCell ref="D33:O33"/>
    <mergeCell ref="AC18:AF18"/>
    <mergeCell ref="Z15:AB15"/>
    <mergeCell ref="P16:Q16"/>
    <mergeCell ref="U5:AF5"/>
    <mergeCell ref="S6:T8"/>
    <mergeCell ref="E36:I36"/>
    <mergeCell ref="D26:O26"/>
    <mergeCell ref="P18:Q18"/>
    <mergeCell ref="F5:O5"/>
    <mergeCell ref="E38:AF38"/>
    <mergeCell ref="D19:O19"/>
    <mergeCell ref="Z32:AB32"/>
    <mergeCell ref="D2:E3"/>
    <mergeCell ref="F8:O8"/>
    <mergeCell ref="AC20:AF20"/>
    <mergeCell ref="E40:AF40"/>
    <mergeCell ref="AC34:AF34"/>
    <mergeCell ref="Z16:AB16"/>
    <mergeCell ref="Z25:AB25"/>
  </mergeCells>
  <hyperlinks>
    <hyperlink xmlns:r="http://schemas.openxmlformats.org/officeDocument/2006/relationships" ref="E40" display="www.hk4.co.kr " r:id="rId1"/>
  </hyperlinks>
  <pageMargins left="0.7" right="0.7" top="0.75" bottom="0.75" header="0.3" footer="0.3"/>
  <pageSetup orientation="portrait" paperSize="9" scale="87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김원규</dc:creator>
  <dcterms:created xmlns:dcterms="http://purl.org/dc/terms/" xmlns:xsi="http://www.w3.org/2001/XMLSchema-instance" xsi:type="dcterms:W3CDTF">2018-06-14T07:39:14Z</dcterms:created>
  <dcterms:modified xmlns:dcterms="http://purl.org/dc/terms/" xmlns:xsi="http://www.w3.org/2001/XMLSchema-instance" xsi:type="dcterms:W3CDTF">2026-03-06T14:49:04Z</dcterms:modified>
  <cp:lastModifiedBy>자재피아</cp:lastModifiedBy>
  <cp:lastPrinted>2026-03-06T04:33:06Z</cp:lastPrinted>
</cp:coreProperties>
</file>