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자재피아\Desktop\"/>
    </mc:Choice>
  </mc:AlternateContent>
  <bookViews>
    <workbookView xWindow="-120" yWindow="-120" windowWidth="29040" windowHeight="15720"/>
  </bookViews>
  <sheets>
    <sheet name="자재피아기본견적" sheetId="3" r:id="rId1"/>
    <sheet name="거성" sheetId="1" r:id="rId2"/>
    <sheet name="해광" sheetId="4" r:id="rId3"/>
  </sheets>
  <calcPr calcId="162913"/>
</workbook>
</file>

<file path=xl/calcChain.xml><?xml version="1.0" encoding="utf-8"?>
<calcChain xmlns="http://schemas.openxmlformats.org/spreadsheetml/2006/main">
  <c r="D17" i="4" l="1"/>
  <c r="D18" i="4"/>
  <c r="D19" i="4"/>
  <c r="D20" i="4"/>
  <c r="B13" i="1" l="1"/>
  <c r="B14" i="1"/>
  <c r="B15" i="1"/>
  <c r="B16" i="1"/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H12" i="1" l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B12" i="1"/>
  <c r="S15" i="4" l="1"/>
  <c r="S16" i="4"/>
  <c r="S27" i="4"/>
  <c r="S28" i="4"/>
  <c r="S29" i="4"/>
  <c r="S30" i="4"/>
  <c r="R29" i="4"/>
  <c r="D16" i="4" l="1"/>
  <c r="D15" i="4" l="1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30" i="4"/>
  <c r="R31" i="4"/>
  <c r="R32" i="4"/>
  <c r="R33" i="4"/>
  <c r="R34" i="4"/>
  <c r="S17" i="4"/>
  <c r="S18" i="4"/>
  <c r="S19" i="4"/>
  <c r="S20" i="4"/>
  <c r="S21" i="4"/>
  <c r="S22" i="4"/>
  <c r="S23" i="4"/>
  <c r="S24" i="4"/>
  <c r="S25" i="4"/>
  <c r="V25" i="4" s="1"/>
  <c r="Z25" i="4" s="1"/>
  <c r="S26" i="4"/>
  <c r="V29" i="4"/>
  <c r="Z29" i="4" s="1"/>
  <c r="V30" i="4"/>
  <c r="Z30" i="4" s="1"/>
  <c r="S31" i="4"/>
  <c r="S32" i="4"/>
  <c r="S33" i="4"/>
  <c r="V33" i="4" s="1"/>
  <c r="Z33" i="4" s="1"/>
  <c r="S34" i="4"/>
  <c r="V34" i="4" s="1"/>
  <c r="Z34" i="4" s="1"/>
  <c r="R15" i="4"/>
  <c r="F8" i="4"/>
  <c r="V31" i="4" l="1"/>
  <c r="Z31" i="4" s="1"/>
  <c r="V19" i="4"/>
  <c r="V22" i="4"/>
  <c r="Z22" i="4" s="1"/>
  <c r="V26" i="4"/>
  <c r="Z26" i="4" s="1"/>
  <c r="V32" i="4"/>
  <c r="Z32" i="4" s="1"/>
  <c r="V27" i="4"/>
  <c r="Z27" i="4" s="1"/>
  <c r="V24" i="4"/>
  <c r="Z24" i="4" s="1"/>
  <c r="V18" i="4"/>
  <c r="Z18" i="4" s="1"/>
  <c r="V28" i="4"/>
  <c r="Z28" i="4" s="1"/>
  <c r="V23" i="4"/>
  <c r="Z23" i="4" s="1"/>
  <c r="V16" i="4"/>
  <c r="Z16" i="4" s="1"/>
  <c r="V17" i="4"/>
  <c r="Z17" i="4" s="1"/>
  <c r="V21" i="4"/>
  <c r="Z21" i="4" s="1"/>
  <c r="V15" i="4"/>
  <c r="Z15" i="4" s="1"/>
  <c r="V20" i="4"/>
  <c r="Z20" i="4" s="1"/>
  <c r="Z19" i="4"/>
  <c r="E36" i="4" l="1"/>
  <c r="N36" i="4" s="1"/>
  <c r="Y36" i="4" s="1"/>
  <c r="H33" i="1"/>
  <c r="H11" i="1"/>
  <c r="F11" i="1"/>
  <c r="B11" i="1"/>
  <c r="B4" i="1" l="1"/>
  <c r="I13" i="1" l="1"/>
  <c r="K13" i="1" s="1"/>
  <c r="I12" i="1"/>
  <c r="K12" i="1" s="1"/>
  <c r="I11" i="1"/>
  <c r="K11" i="1" s="1"/>
  <c r="I33" i="1" l="1"/>
  <c r="K33" i="1" s="1"/>
  <c r="I32" i="1"/>
  <c r="K32" i="1" s="1"/>
  <c r="I31" i="1"/>
  <c r="K31" i="1" s="1"/>
  <c r="I30" i="1"/>
  <c r="K30" i="1" s="1"/>
  <c r="I29" i="1"/>
  <c r="K29" i="1" s="1"/>
  <c r="I28" i="1"/>
  <c r="K28" i="1" s="1"/>
  <c r="I27" i="1"/>
  <c r="K27" i="1" s="1"/>
  <c r="I26" i="1"/>
  <c r="K26" i="1" s="1"/>
  <c r="I25" i="1"/>
  <c r="K25" i="1" s="1"/>
  <c r="I24" i="1"/>
  <c r="K24" i="1" s="1"/>
  <c r="I23" i="1"/>
  <c r="K23" i="1" s="1"/>
  <c r="I22" i="1"/>
  <c r="K22" i="1" s="1"/>
  <c r="I21" i="1"/>
  <c r="K21" i="1" s="1"/>
  <c r="I14" i="1" l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34" i="1" l="1"/>
  <c r="K34" i="1" s="1"/>
  <c r="J9" i="1" s="1"/>
  <c r="F9" i="1" s="1"/>
</calcChain>
</file>

<file path=xl/sharedStrings.xml><?xml version="1.0" encoding="utf-8"?>
<sst xmlns="http://schemas.openxmlformats.org/spreadsheetml/2006/main" count="112" uniqueCount="103">
  <si>
    <t xml:space="preserve">No. </t>
  </si>
  <si>
    <t>공</t>
  </si>
  <si>
    <t>급</t>
  </si>
  <si>
    <t>자</t>
  </si>
  <si>
    <t>등 록 번 호</t>
  </si>
  <si>
    <t>상호(법인명)</t>
  </si>
  <si>
    <t>성명</t>
  </si>
  <si>
    <t>사업장주소</t>
  </si>
  <si>
    <t>아래와 같이 견적합니다.</t>
  </si>
  <si>
    <t>업 태</t>
  </si>
  <si>
    <t>도.소매</t>
  </si>
  <si>
    <t>종목</t>
  </si>
  <si>
    <t>전 화 번 호</t>
  </si>
  <si>
    <t>순번</t>
  </si>
  <si>
    <t>단위</t>
  </si>
  <si>
    <t>단 가</t>
  </si>
  <si>
    <t>공 급 가 액</t>
  </si>
  <si>
    <t>세 액</t>
  </si>
  <si>
    <t>비 고</t>
  </si>
  <si>
    <t>합 계</t>
  </si>
  <si>
    <t>※기타사항</t>
  </si>
  <si>
    <t>1. 견적일로부터 20일간 유효합니다.</t>
  </si>
  <si>
    <t>심정근 (인)</t>
    <phoneticPr fontId="8" type="noConversion"/>
  </si>
  <si>
    <t>수량</t>
    <phoneticPr fontId="8" type="noConversion"/>
  </si>
  <si>
    <t>귀하</t>
    <phoneticPr fontId="8" type="noConversion"/>
  </si>
  <si>
    <t>전기소방,유통
잡자재</t>
    <phoneticPr fontId="8" type="noConversion"/>
  </si>
  <si>
    <t>일금</t>
    <phoneticPr fontId="8" type="noConversion"/>
  </si>
  <si>
    <t>합 계 금 액(공급가액+VAT포함)</t>
    <phoneticPr fontId="8" type="noConversion"/>
  </si>
  <si>
    <r>
      <t>주식회사
거성에이엠에스</t>
    </r>
    <r>
      <rPr>
        <sz val="9"/>
        <color rgb="FF000000"/>
        <rFont val="굴림"/>
        <family val="3"/>
        <charset val="129"/>
      </rPr>
      <t>(AMS)</t>
    </r>
    <phoneticPr fontId="8" type="noConversion"/>
  </si>
  <si>
    <t>ㅡㅡㅡㅡㅡㅡㅡㅡㅡㅡㅡㅡㅡㅡㅡㅡㅡ</t>
    <phoneticPr fontId="8" type="noConversion"/>
  </si>
  <si>
    <t>견   적   서</t>
    <phoneticPr fontId="8" type="noConversion"/>
  </si>
  <si>
    <t>528-87-02337</t>
    <phoneticPr fontId="8" type="noConversion"/>
  </si>
  <si>
    <t>010-7161-9139</t>
    <phoneticPr fontId="8" type="noConversion"/>
  </si>
  <si>
    <t>경기도 화성시 효행로 614번길 20
(안녕동 162)</t>
    <phoneticPr fontId="8" type="noConversion"/>
  </si>
  <si>
    <t>품명 및 규격</t>
    <phoneticPr fontId="8" type="noConversion"/>
  </si>
  <si>
    <t>품목명</t>
    <phoneticPr fontId="8" type="noConversion"/>
  </si>
  <si>
    <t>수량</t>
    <phoneticPr fontId="8" type="noConversion"/>
  </si>
  <si>
    <t>가격</t>
    <phoneticPr fontId="8" type="noConversion"/>
  </si>
  <si>
    <t>ss</t>
  </si>
  <si>
    <t>견    적    서</t>
  </si>
  <si>
    <t>수신</t>
  </si>
  <si>
    <t>상  호</t>
  </si>
  <si>
    <t>발신</t>
  </si>
  <si>
    <t>주식회사 해광</t>
  </si>
  <si>
    <t>대  표</t>
  </si>
  <si>
    <t>정광호</t>
  </si>
  <si>
    <t>(인)</t>
  </si>
  <si>
    <t>담  당</t>
  </si>
  <si>
    <t>전  화</t>
  </si>
  <si>
    <t>팩  스</t>
  </si>
  <si>
    <t>031-592-4169</t>
  </si>
  <si>
    <t>주  소</t>
  </si>
  <si>
    <t>메일 - hk5924161@hanmail.net</t>
    <phoneticPr fontId="22" type="noConversion"/>
  </si>
  <si>
    <t>경기도 남양주시 화도읍 녹촌로199번길 20</t>
  </si>
  <si>
    <t>견 적 일 자</t>
  </si>
  <si>
    <t>견적유효일</t>
  </si>
  <si>
    <t>견적일로부터 30일</t>
  </si>
  <si>
    <t>유효진</t>
  </si>
  <si>
    <t xml:space="preserve">과장 </t>
  </si>
  <si>
    <t>♣ 귀사의 무궁한 발전을 기원합니다.</t>
  </si>
  <si>
    <t>♣ 아래와 같이 견적 하오니 업무에 참조 하시기 바랍니다.</t>
  </si>
  <si>
    <t>No.</t>
  </si>
  <si>
    <t>수량</t>
  </si>
  <si>
    <t>단가</t>
  </si>
  <si>
    <t>금액</t>
  </si>
  <si>
    <t>세액</t>
  </si>
  <si>
    <t>비고</t>
  </si>
  <si>
    <t>1</t>
    <phoneticPr fontId="22" type="noConversion"/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</si>
  <si>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</si>
  <si>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</si>
  <si>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</si>
  <si>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</si>
  <si>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</si>
  <si>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</si>
  <si>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</si>
  <si>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</si>
  <si>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</si>
  <si>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</si>
  <si>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</si>
  <si>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</si>
  <si>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</si>
  <si>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</si>
  <si>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</si>
  <si>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</si>
  <si>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</si>
  <si>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</si>
  <si>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</si>
  <si>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공급가액</t>
  </si>
  <si>
    <t>합계(Total)</t>
  </si>
  <si>
    <t>★사업자등록증 발송시 연락처/팩스/메일주소 기재하여 당사 팩스/메일로 발송바랍니다</t>
  </si>
  <si>
    <t>★계좌번호 - 국민은행(주식회사해광) 825337-04-001189</t>
  </si>
  <si>
    <t>홈페이지 www.hk4.co.kr  (네이버 검색창 -  해광애드 )</t>
  </si>
  <si>
    <t>직통  010-9844-8917</t>
    <phoneticPr fontId="22" type="noConversion"/>
  </si>
  <si>
    <t>배송료</t>
  </si>
  <si>
    <t>한양수자인 사가정파크 입주자대표회의</t>
    <phoneticPr fontId="8" type="noConversion"/>
  </si>
  <si>
    <t>02-496-9866</t>
    <phoneticPr fontId="8" type="noConversion"/>
  </si>
  <si>
    <t>02-495-9866</t>
    <phoneticPr fontId="8" type="noConversion"/>
  </si>
  <si>
    <t>원형오뚜기 체인걸이형/기본인쇄 [L360*H1080mm/주차금지 반사지]</t>
  </si>
  <si>
    <t>칼라콘/SJ [380*380*h680]</t>
  </si>
  <si>
    <t>나눔테크 심장충격기 (연습용) [NT-381.CT]</t>
  </si>
  <si>
    <t>프레스탄모니터형마네킹</t>
  </si>
  <si>
    <t>프레스탄일반형마네킹</t>
  </si>
  <si>
    <t>동탄2 LH2단지 행복주택A4-1블럭 아파트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</si>
</sst>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2" formatCode="_-&quot;₩&quot;* #,##0_-;\-&quot;₩&quot;* #,##0_-;_-&quot;₩&quot;* &quot;-&quot;_-;_-@_-"/>
    <numFmt numFmtId="41" formatCode="_-* #,##0_-;\-* #,##0_-;_-* &quot;-&quot;_-;_-@_-"/>
    <numFmt numFmtId="176" formatCode="yyyy&quot;년&quot;\ m&quot;월&quot;\ d&quot;일&quot;;@"/>
    <numFmt numFmtId="177" formatCode="[DBNum4][$-412]General"/>
    <numFmt numFmtId="178" formatCode="_-* #,##0_-;\-* #,##0_-;_-* &quot;-&quot;?_-;_-@_-"/>
  </numFmts>
  <fonts count="33">
    <font>
      <sz val="11"/>
      <color theme="1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  <scheme val="minor"/>
    </font>
    <font>
      <i/>
      <u/>
      <sz val="11"/>
      <color rgb="FF000000"/>
      <name val="굴림"/>
      <family val="3"/>
      <charset val="129"/>
    </font>
    <font>
      <b/>
      <sz val="18"/>
      <color rgb="FF000000"/>
      <name val="굴림"/>
      <family val="3"/>
      <charset val="129"/>
    </font>
    <font>
      <sz val="18"/>
      <color rgb="FF000000"/>
      <name val="굴림"/>
      <family val="3"/>
      <charset val="129"/>
    </font>
    <font>
      <sz val="11"/>
      <color rgb="FF000000"/>
      <name val="굴림"/>
      <family val="3"/>
      <charset val="129"/>
    </font>
    <font>
      <sz val="10"/>
      <color rgb="FF000000"/>
      <name val="굴림"/>
      <family val="3"/>
      <charset val="129"/>
    </font>
    <font>
      <b/>
      <sz val="11"/>
      <color rgb="FF000000"/>
      <name val="굴림"/>
      <family val="3"/>
      <charset val="129"/>
    </font>
    <font>
      <sz val="8"/>
      <name val="맑은 고딕"/>
      <family val="2"/>
      <charset val="129"/>
      <scheme val="minor"/>
    </font>
    <font>
      <sz val="9"/>
      <color rgb="FF000000"/>
      <name val="굴림"/>
      <family val="3"/>
      <charset val="129"/>
    </font>
    <font>
      <sz val="8"/>
      <color rgb="FF000000"/>
      <name val="굴림"/>
      <family val="3"/>
      <charset val="129"/>
    </font>
    <font>
      <sz val="11"/>
      <color indexed="8"/>
      <name val="맑은 고딕"/>
      <family val="2"/>
      <scheme val="minor"/>
    </font>
    <font>
      <sz val="10"/>
      <name val="Arial"/>
      <family val="2"/>
    </font>
    <font>
      <sz val="11"/>
      <color theme="1"/>
      <name val="맑은 고딕"/>
      <family val="2"/>
      <charset val="129"/>
      <scheme val="minor"/>
    </font>
    <font>
      <sz val="36"/>
      <color indexed="8"/>
      <name val="-윤고딕360"/>
      <family val="1"/>
      <charset val="129"/>
    </font>
    <font>
      <b/>
      <sz val="12"/>
      <color indexed="8"/>
      <name val="맑은 고딕"/>
      <family val="3"/>
      <charset val="129"/>
    </font>
    <font>
      <b/>
      <sz val="16"/>
      <color indexed="8"/>
      <name val="맑은 고딕"/>
      <family val="3"/>
      <charset val="129"/>
    </font>
    <font>
      <b/>
      <sz val="18"/>
      <color indexed="8"/>
      <name val="맑은 고딕"/>
      <family val="3"/>
      <charset val="129"/>
    </font>
    <font>
      <b/>
      <sz val="14"/>
      <color indexed="8"/>
      <name val="맑은 고딕"/>
      <family val="3"/>
      <charset val="129"/>
    </font>
    <font>
      <sz val="9"/>
      <color indexed="8"/>
      <name val="맑은 고딕"/>
      <family val="3"/>
      <charset val="129"/>
    </font>
    <font>
      <sz val="12"/>
      <color indexed="8"/>
      <name val="맑은 고딕"/>
      <family val="3"/>
      <charset val="129"/>
    </font>
    <font>
      <b/>
      <sz val="10"/>
      <color indexed="8"/>
      <name val="맑은 고딕"/>
      <family val="3"/>
      <charset val="129"/>
    </font>
    <font>
      <sz val="8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b/>
      <sz val="9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</font>
    <font>
      <u/>
      <sz val="11"/>
      <color theme="10"/>
      <name val="맑은 고딕"/>
      <family val="3"/>
      <charset val="129"/>
    </font>
    <font>
      <b/>
      <sz val="18"/>
      <color theme="1"/>
      <name val="맑은 고딕"/>
      <family val="3"/>
      <charset val="129"/>
      <scheme val="minor"/>
    </font>
    <font>
      <b/>
      <sz val="10"/>
      <color rgb="FF000000"/>
      <name val="굴림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9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0" fillId="0" borderId="0">
      <alignment vertical="center"/>
    </xf>
    <xf numFmtId="0" fontId="11" fillId="0" borderId="0">
      <alignment vertical="center"/>
    </xf>
    <xf numFmtId="41" fontId="13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top"/>
      <protection locked="0"/>
    </xf>
  </cellStyleXfs>
  <cellXfs count="225">
    <xf numFmtId="0" fontId="0" fillId="0" borderId="0" xfId="0">
      <alignment vertical="center"/>
    </xf>
    <xf numFmtId="0" fontId="1" fillId="0" borderId="4" xfId="0" applyFont="1" applyBorder="1" applyAlignment="1">
      <alignment horizontal="justify" vertical="center" wrapText="1"/>
    </xf>
    <xf numFmtId="0" fontId="5" fillId="0" borderId="9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41" fontId="5" fillId="0" borderId="14" xfId="0" applyNumberFormat="1" applyFont="1" applyBorder="1" applyAlignment="1">
      <alignment horizontal="right" vertical="center" wrapText="1"/>
    </xf>
    <xf numFmtId="0" fontId="7" fillId="0" borderId="0" xfId="0" applyFont="1" applyAlignment="1">
      <alignment vertical="center" wrapText="1"/>
    </xf>
    <xf numFmtId="0" fontId="7" fillId="0" borderId="27" xfId="0" applyFont="1" applyBorder="1" applyAlignment="1">
      <alignment horizontal="center" vertical="center" wrapText="1"/>
    </xf>
    <xf numFmtId="0" fontId="5" fillId="0" borderId="21" xfId="0" applyFont="1" applyBorder="1" applyAlignment="1">
      <alignment vertical="center" wrapText="1"/>
    </xf>
    <xf numFmtId="0" fontId="5" fillId="0" borderId="22" xfId="0" applyFont="1" applyBorder="1" applyAlignment="1">
      <alignment vertical="center" wrapText="1"/>
    </xf>
    <xf numFmtId="0" fontId="7" fillId="0" borderId="31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7" fillId="0" borderId="14" xfId="0" applyFont="1" applyBorder="1" applyAlignment="1">
      <alignment vertical="center" wrapText="1"/>
    </xf>
    <xf numFmtId="41" fontId="6" fillId="0" borderId="14" xfId="0" applyNumberFormat="1" applyFont="1" applyBorder="1" applyAlignment="1">
      <alignment horizontal="right" vertical="center" wrapText="1"/>
    </xf>
    <xf numFmtId="0" fontId="6" fillId="0" borderId="17" xfId="0" applyFont="1" applyBorder="1" applyAlignment="1">
      <alignment horizontal="justify" vertical="center" wrapText="1"/>
    </xf>
    <xf numFmtId="0" fontId="5" fillId="0" borderId="14" xfId="0" applyFont="1" applyBorder="1" applyAlignment="1">
      <alignment horizontal="center" vertical="center" wrapText="1" shrinkToFit="1"/>
    </xf>
    <xf numFmtId="0" fontId="7" fillId="0" borderId="33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49" fontId="0" fillId="0" borderId="0" xfId="0" applyNumberFormat="1">
      <alignment vertical="center"/>
    </xf>
    <xf numFmtId="49" fontId="16" fillId="0" borderId="0" xfId="0" applyNumberFormat="1" applyFont="1" applyAlignment="1">
      <alignment horizontal="center" vertical="center"/>
    </xf>
    <xf numFmtId="49" fontId="17" fillId="0" borderId="0" xfId="0" applyNumberFormat="1" applyFont="1">
      <alignment vertical="center"/>
    </xf>
    <xf numFmtId="49" fontId="20" fillId="0" borderId="0" xfId="0" applyNumberFormat="1" applyFont="1" applyAlignment="1">
      <alignment horizontal="left" vertical="center"/>
    </xf>
    <xf numFmtId="49" fontId="15" fillId="0" borderId="0" xfId="0" applyNumberFormat="1" applyFont="1">
      <alignment vertical="center"/>
    </xf>
    <xf numFmtId="49" fontId="21" fillId="0" borderId="0" xfId="0" applyNumberFormat="1" applyFont="1" applyAlignment="1">
      <alignment horizontal="center" vertical="center"/>
    </xf>
    <xf numFmtId="49" fontId="20" fillId="0" borderId="0" xfId="0" applyNumberFormat="1" applyFont="1">
      <alignment vertical="center"/>
    </xf>
    <xf numFmtId="49" fontId="25" fillId="3" borderId="38" xfId="0" applyNumberFormat="1" applyFont="1" applyFill="1" applyBorder="1">
      <alignment vertical="center"/>
    </xf>
    <xf numFmtId="49" fontId="25" fillId="3" borderId="45" xfId="0" applyNumberFormat="1" applyFont="1" applyFill="1" applyBorder="1">
      <alignment vertical="center"/>
    </xf>
    <xf numFmtId="49" fontId="25" fillId="3" borderId="43" xfId="0" applyNumberFormat="1" applyFont="1" applyFill="1" applyBorder="1">
      <alignment vertical="center"/>
    </xf>
    <xf numFmtId="49" fontId="26" fillId="0" borderId="0" xfId="0" applyNumberFormat="1" applyFont="1" applyAlignment="1">
      <alignment horizontal="left" vertical="center"/>
    </xf>
    <xf numFmtId="49" fontId="0" fillId="0" borderId="68" xfId="0" applyNumberFormat="1" applyBorder="1">
      <alignment vertical="center"/>
    </xf>
    <xf numFmtId="49" fontId="0" fillId="0" borderId="69" xfId="0" applyNumberFormat="1" applyBorder="1">
      <alignment vertical="center"/>
    </xf>
    <xf numFmtId="49" fontId="0" fillId="0" borderId="70" xfId="0" applyNumberFormat="1" applyBorder="1">
      <alignment vertical="center"/>
    </xf>
    <xf numFmtId="49" fontId="0" fillId="0" borderId="0" xfId="0" applyNumberFormat="1" applyAlignment="1">
      <alignment horizontal="left" vertical="center"/>
    </xf>
    <xf numFmtId="49" fontId="26" fillId="0" borderId="0" xfId="0" applyNumberFormat="1" applyFont="1">
      <alignment vertical="center"/>
    </xf>
    <xf numFmtId="49" fontId="27" fillId="0" borderId="0" xfId="0" applyNumberFormat="1" applyFont="1">
      <alignment vertical="center"/>
    </xf>
    <xf numFmtId="49" fontId="28" fillId="0" borderId="73" xfId="0" applyNumberFormat="1" applyFont="1" applyBorder="1">
      <alignment vertical="center"/>
    </xf>
    <xf numFmtId="49" fontId="28" fillId="0" borderId="74" xfId="0" applyNumberFormat="1" applyFont="1" applyBorder="1">
      <alignment vertical="center"/>
    </xf>
    <xf numFmtId="49" fontId="21" fillId="3" borderId="39" xfId="0" applyNumberFormat="1" applyFont="1" applyFill="1" applyBorder="1">
      <alignment vertical="center"/>
    </xf>
    <xf numFmtId="49" fontId="21" fillId="3" borderId="40" xfId="0" applyNumberFormat="1" applyFont="1" applyFill="1" applyBorder="1">
      <alignment vertical="center"/>
    </xf>
    <xf numFmtId="49" fontId="28" fillId="0" borderId="0" xfId="0" applyNumberFormat="1" applyFont="1">
      <alignment vertical="center"/>
    </xf>
    <xf numFmtId="49" fontId="0" fillId="0" borderId="75" xfId="0" applyNumberFormat="1" applyBorder="1">
      <alignment vertical="center"/>
    </xf>
    <xf numFmtId="49" fontId="29" fillId="0" borderId="48" xfId="0" applyNumberFormat="1" applyFont="1" applyBorder="1" applyAlignment="1">
      <alignment horizontal="center" vertical="center"/>
    </xf>
    <xf numFmtId="49" fontId="23" fillId="0" borderId="0" xfId="0" applyNumberFormat="1" applyFont="1" applyAlignment="1">
      <alignment horizontal="center" vertical="center"/>
    </xf>
    <xf numFmtId="49" fontId="27" fillId="0" borderId="0" xfId="0" applyNumberFormat="1" applyFont="1" applyAlignment="1">
      <alignment horizontal="center" vertical="center"/>
    </xf>
    <xf numFmtId="41" fontId="26" fillId="0" borderId="32" xfId="2" applyFont="1" applyBorder="1" applyAlignment="1">
      <alignment horizontal="center" vertical="center" shrinkToFit="1"/>
    </xf>
    <xf numFmtId="0" fontId="32" fillId="0" borderId="0" xfId="0" applyFont="1">
      <alignment vertical="center"/>
    </xf>
    <xf numFmtId="0" fontId="12" fillId="0" borderId="34" xfId="0" applyFont="1" applyBorder="1" applyAlignment="1">
      <alignment horizontal="left" vertical="center"/>
    </xf>
    <xf numFmtId="3" fontId="12" fillId="0" borderId="34" xfId="0" applyNumberFormat="1" applyFont="1" applyBorder="1" applyAlignment="1">
      <alignment horizontal="center" vertical="center"/>
    </xf>
    <xf numFmtId="3" fontId="12" fillId="0" borderId="34" xfId="0" applyNumberFormat="1" applyFont="1" applyBorder="1" applyAlignment="1">
      <alignment horizontal="right" vertical="center"/>
    </xf>
    <xf numFmtId="0" fontId="5" fillId="0" borderId="93" xfId="0" applyFont="1" applyBorder="1" applyAlignment="1">
      <alignment horizontal="center" vertical="center" wrapText="1"/>
    </xf>
    <xf numFmtId="0" fontId="5" fillId="0" borderId="94" xfId="0" applyFont="1" applyBorder="1" applyAlignment="1">
      <alignment horizontal="center" vertical="center" wrapText="1"/>
    </xf>
    <xf numFmtId="0" fontId="5" fillId="0" borderId="95" xfId="0" applyFont="1" applyBorder="1" applyAlignment="1">
      <alignment horizontal="center" vertical="center" wrapText="1"/>
    </xf>
    <xf numFmtId="41" fontId="5" fillId="0" borderId="14" xfId="2" applyFont="1" applyBorder="1" applyAlignment="1">
      <alignment horizontal="center" vertical="center" wrapText="1"/>
    </xf>
    <xf numFmtId="176" fontId="5" fillId="0" borderId="0" xfId="0" applyNumberFormat="1" applyFont="1" applyAlignment="1">
      <alignment horizontal="center" vertical="center" wrapText="1"/>
    </xf>
    <xf numFmtId="176" fontId="5" fillId="0" borderId="6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left" vertical="center" wrapText="1"/>
    </xf>
    <xf numFmtId="0" fontId="5" fillId="0" borderId="18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justify" vertical="center" wrapText="1"/>
    </xf>
    <xf numFmtId="0" fontId="2" fillId="0" borderId="2" xfId="0" applyFont="1" applyBorder="1" applyAlignment="1">
      <alignment horizontal="justify" vertical="center" wrapText="1"/>
    </xf>
    <xf numFmtId="0" fontId="2" fillId="0" borderId="3" xfId="0" applyFont="1" applyBorder="1" applyAlignment="1">
      <alignment horizontal="justify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justify" vertical="center" wrapText="1"/>
    </xf>
    <xf numFmtId="0" fontId="1" fillId="0" borderId="0" xfId="0" applyFont="1" applyAlignment="1">
      <alignment horizontal="justify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justify" vertical="center" wrapText="1"/>
    </xf>
    <xf numFmtId="0" fontId="1" fillId="0" borderId="22" xfId="0" applyFont="1" applyBorder="1" applyAlignment="1">
      <alignment horizontal="justify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shrinkToFit="1"/>
    </xf>
    <xf numFmtId="0" fontId="5" fillId="0" borderId="4" xfId="0" applyFont="1" applyBorder="1" applyAlignment="1">
      <alignment horizontal="justify" vertical="center" wrapText="1"/>
    </xf>
    <xf numFmtId="0" fontId="5" fillId="0" borderId="0" xfId="0" applyFont="1" applyAlignment="1">
      <alignment horizontal="justify" vertical="center" wrapText="1"/>
    </xf>
    <xf numFmtId="0" fontId="5" fillId="0" borderId="5" xfId="0" applyFont="1" applyBorder="1" applyAlignment="1">
      <alignment horizontal="justify" vertical="center" wrapText="1"/>
    </xf>
    <xf numFmtId="0" fontId="5" fillId="0" borderId="7" xfId="0" applyFont="1" applyBorder="1" applyAlignment="1">
      <alignment horizontal="justify" vertical="center" wrapText="1"/>
    </xf>
    <xf numFmtId="0" fontId="5" fillId="0" borderId="22" xfId="0" applyFont="1" applyBorder="1" applyAlignment="1">
      <alignment horizontal="justify" vertical="center" wrapText="1"/>
    </xf>
    <xf numFmtId="0" fontId="5" fillId="0" borderId="8" xfId="0" applyFont="1" applyBorder="1" applyAlignment="1">
      <alignment horizontal="justify" vertical="center" wrapText="1"/>
    </xf>
    <xf numFmtId="41" fontId="5" fillId="0" borderId="15" xfId="0" applyNumberFormat="1" applyFont="1" applyBorder="1" applyAlignment="1">
      <alignment horizontal="right" vertical="center" wrapText="1"/>
    </xf>
    <xf numFmtId="41" fontId="5" fillId="0" borderId="16" xfId="0" applyNumberFormat="1" applyFont="1" applyBorder="1" applyAlignment="1">
      <alignment horizontal="right" vertical="center" wrapText="1"/>
    </xf>
    <xf numFmtId="0" fontId="5" fillId="0" borderId="29" xfId="0" applyFont="1" applyBorder="1" applyAlignment="1">
      <alignment horizontal="justify" vertical="center" wrapText="1"/>
    </xf>
    <xf numFmtId="0" fontId="5" fillId="0" borderId="21" xfId="0" applyFont="1" applyBorder="1" applyAlignment="1">
      <alignment horizontal="justify" vertical="center" wrapText="1"/>
    </xf>
    <xf numFmtId="0" fontId="5" fillId="0" borderId="30" xfId="0" applyFont="1" applyBorder="1" applyAlignment="1">
      <alignment horizontal="justify" vertical="center" wrapText="1"/>
    </xf>
    <xf numFmtId="0" fontId="7" fillId="0" borderId="26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177" fontId="7" fillId="0" borderId="27" xfId="0" applyNumberFormat="1" applyFont="1" applyBorder="1" applyAlignment="1">
      <alignment horizontal="center" vertical="center" wrapText="1"/>
    </xf>
    <xf numFmtId="42" fontId="7" fillId="0" borderId="27" xfId="0" applyNumberFormat="1" applyFont="1" applyBorder="1" applyAlignment="1">
      <alignment horizontal="center" vertical="center" wrapText="1"/>
    </xf>
    <xf numFmtId="42" fontId="7" fillId="0" borderId="28" xfId="0" applyNumberFormat="1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 wrapText="1"/>
    </xf>
    <xf numFmtId="0" fontId="6" fillId="0" borderId="96" xfId="0" applyFont="1" applyBorder="1" applyAlignment="1">
      <alignment horizontal="center" vertical="center" shrinkToFit="1"/>
    </xf>
    <xf numFmtId="0" fontId="6" fillId="0" borderId="21" xfId="0" applyFont="1" applyBorder="1" applyAlignment="1">
      <alignment horizontal="center" vertical="center" shrinkToFit="1"/>
    </xf>
    <xf numFmtId="0" fontId="6" fillId="0" borderId="97" xfId="0" applyFont="1" applyBorder="1" applyAlignment="1">
      <alignment horizontal="center" vertical="center" shrinkToFit="1"/>
    </xf>
    <xf numFmtId="0" fontId="7" fillId="0" borderId="33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49" fontId="14" fillId="0" borderId="0" xfId="0" applyNumberFormat="1" applyFont="1" applyAlignment="1">
      <alignment horizontal="center" vertical="top"/>
    </xf>
    <xf numFmtId="49" fontId="15" fillId="2" borderId="38" xfId="0" applyNumberFormat="1" applyFont="1" applyFill="1" applyBorder="1" applyAlignment="1">
      <alignment horizontal="center" vertical="center" textRotation="255"/>
    </xf>
    <xf numFmtId="49" fontId="15" fillId="2" borderId="47" xfId="0" applyNumberFormat="1" applyFont="1" applyFill="1" applyBorder="1" applyAlignment="1">
      <alignment horizontal="center" vertical="center" textRotation="255"/>
    </xf>
    <xf numFmtId="49" fontId="15" fillId="2" borderId="55" xfId="0" applyNumberFormat="1" applyFont="1" applyFill="1" applyBorder="1" applyAlignment="1">
      <alignment horizontal="center" vertical="center" textRotation="255"/>
    </xf>
    <xf numFmtId="49" fontId="15" fillId="2" borderId="39" xfId="0" applyNumberFormat="1" applyFont="1" applyFill="1" applyBorder="1" applyAlignment="1">
      <alignment horizontal="center" vertical="center"/>
    </xf>
    <xf numFmtId="49" fontId="15" fillId="2" borderId="40" xfId="0" applyNumberFormat="1" applyFont="1" applyFill="1" applyBorder="1" applyAlignment="1">
      <alignment horizontal="center" vertical="center"/>
    </xf>
    <xf numFmtId="49" fontId="15" fillId="2" borderId="48" xfId="0" applyNumberFormat="1" applyFont="1" applyFill="1" applyBorder="1" applyAlignment="1">
      <alignment horizontal="center" vertical="center"/>
    </xf>
    <xf numFmtId="49" fontId="15" fillId="2" borderId="32" xfId="0" applyNumberFormat="1" applyFont="1" applyFill="1" applyBorder="1" applyAlignment="1">
      <alignment horizontal="center" vertical="center"/>
    </xf>
    <xf numFmtId="49" fontId="15" fillId="0" borderId="40" xfId="0" applyNumberFormat="1" applyFont="1" applyBorder="1" applyAlignment="1">
      <alignment horizontal="center" vertical="center" shrinkToFit="1"/>
    </xf>
    <xf numFmtId="49" fontId="15" fillId="0" borderId="41" xfId="0" applyNumberFormat="1" applyFont="1" applyBorder="1" applyAlignment="1">
      <alignment horizontal="center" vertical="center" shrinkToFit="1"/>
    </xf>
    <xf numFmtId="49" fontId="15" fillId="0" borderId="32" xfId="0" applyNumberFormat="1" applyFont="1" applyBorder="1" applyAlignment="1">
      <alignment horizontal="center" vertical="center" shrinkToFit="1"/>
    </xf>
    <xf numFmtId="49" fontId="15" fillId="0" borderId="49" xfId="0" applyNumberFormat="1" applyFont="1" applyBorder="1" applyAlignment="1">
      <alignment horizontal="center" vertical="center" shrinkToFit="1"/>
    </xf>
    <xf numFmtId="49" fontId="15" fillId="2" borderId="42" xfId="0" applyNumberFormat="1" applyFont="1" applyFill="1" applyBorder="1" applyAlignment="1">
      <alignment horizontal="center" vertical="center" textRotation="255"/>
    </xf>
    <xf numFmtId="49" fontId="15" fillId="2" borderId="50" xfId="0" applyNumberFormat="1" applyFont="1" applyFill="1" applyBorder="1" applyAlignment="1">
      <alignment horizontal="center" vertical="center" textRotation="255"/>
    </xf>
    <xf numFmtId="49" fontId="15" fillId="2" borderId="71" xfId="0" applyNumberFormat="1" applyFont="1" applyFill="1" applyBorder="1" applyAlignment="1">
      <alignment horizontal="center" vertical="center" textRotation="255"/>
    </xf>
    <xf numFmtId="49" fontId="15" fillId="2" borderId="43" xfId="0" applyNumberFormat="1" applyFont="1" applyFill="1" applyBorder="1" applyAlignment="1">
      <alignment horizontal="center" vertical="center"/>
    </xf>
    <xf numFmtId="49" fontId="18" fillId="0" borderId="44" xfId="0" applyNumberFormat="1" applyFont="1" applyBorder="1" applyAlignment="1">
      <alignment horizontal="center" vertical="center"/>
    </xf>
    <xf numFmtId="49" fontId="18" fillId="0" borderId="45" xfId="0" applyNumberFormat="1" applyFont="1" applyBorder="1" applyAlignment="1">
      <alignment horizontal="center" vertical="center"/>
    </xf>
    <xf numFmtId="49" fontId="18" fillId="0" borderId="46" xfId="0" applyNumberFormat="1" applyFont="1" applyBorder="1" applyAlignment="1">
      <alignment horizontal="center" vertical="center"/>
    </xf>
    <xf numFmtId="49" fontId="15" fillId="2" borderId="51" xfId="0" applyNumberFormat="1" applyFont="1" applyFill="1" applyBorder="1" applyAlignment="1">
      <alignment horizontal="center" vertical="center"/>
    </xf>
    <xf numFmtId="49" fontId="15" fillId="0" borderId="52" xfId="0" applyNumberFormat="1" applyFont="1" applyBorder="1" applyAlignment="1">
      <alignment horizontal="right" vertical="center"/>
    </xf>
    <xf numFmtId="49" fontId="15" fillId="0" borderId="53" xfId="0" applyNumberFormat="1" applyFont="1" applyBorder="1" applyAlignment="1">
      <alignment horizontal="right" vertical="center"/>
    </xf>
    <xf numFmtId="49" fontId="19" fillId="0" borderId="53" xfId="0" applyNumberFormat="1" applyFont="1" applyBorder="1" applyAlignment="1">
      <alignment horizontal="center" vertical="center"/>
    </xf>
    <xf numFmtId="49" fontId="19" fillId="0" borderId="54" xfId="0" applyNumberFormat="1" applyFont="1" applyBorder="1" applyAlignment="1">
      <alignment horizontal="center" vertical="center"/>
    </xf>
    <xf numFmtId="49" fontId="15" fillId="2" borderId="56" xfId="0" applyNumberFormat="1" applyFont="1" applyFill="1" applyBorder="1" applyAlignment="1">
      <alignment horizontal="center" vertical="center"/>
    </xf>
    <xf numFmtId="49" fontId="15" fillId="2" borderId="57" xfId="0" applyNumberFormat="1" applyFont="1" applyFill="1" applyBorder="1" applyAlignment="1">
      <alignment horizontal="center" vertical="center"/>
    </xf>
    <xf numFmtId="49" fontId="23" fillId="0" borderId="57" xfId="0" applyNumberFormat="1" applyFont="1" applyBorder="1" applyAlignment="1">
      <alignment horizontal="center" vertical="center"/>
    </xf>
    <xf numFmtId="49" fontId="23" fillId="0" borderId="58" xfId="0" applyNumberFormat="1" applyFont="1" applyBorder="1" applyAlignment="1">
      <alignment horizontal="center" vertical="center"/>
    </xf>
    <xf numFmtId="49" fontId="24" fillId="0" borderId="32" xfId="0" applyNumberFormat="1" applyFont="1" applyBorder="1" applyAlignment="1">
      <alignment horizontal="center" vertical="center" wrapText="1"/>
    </xf>
    <xf numFmtId="49" fontId="24" fillId="0" borderId="49" xfId="0" applyNumberFormat="1" applyFont="1" applyBorder="1" applyAlignment="1">
      <alignment horizontal="center" vertical="center" wrapText="1"/>
    </xf>
    <xf numFmtId="49" fontId="24" fillId="0" borderId="59" xfId="0" applyNumberFormat="1" applyFont="1" applyBorder="1" applyAlignment="1">
      <alignment horizontal="center" vertical="center" wrapText="1"/>
    </xf>
    <xf numFmtId="49" fontId="24" fillId="0" borderId="60" xfId="0" applyNumberFormat="1" applyFont="1" applyBorder="1" applyAlignment="1">
      <alignment horizontal="center" vertical="center" wrapText="1"/>
    </xf>
    <xf numFmtId="49" fontId="24" fillId="0" borderId="61" xfId="0" applyNumberFormat="1" applyFont="1" applyBorder="1" applyAlignment="1">
      <alignment horizontal="center" vertical="center" wrapText="1"/>
    </xf>
    <xf numFmtId="49" fontId="24" fillId="0" borderId="62" xfId="0" applyNumberFormat="1" applyFont="1" applyBorder="1" applyAlignment="1">
      <alignment horizontal="center" vertical="center" wrapText="1"/>
    </xf>
    <xf numFmtId="49" fontId="24" fillId="0" borderId="63" xfId="0" applyNumberFormat="1" applyFont="1" applyBorder="1" applyAlignment="1">
      <alignment horizontal="center" vertical="center" wrapText="1"/>
    </xf>
    <xf numFmtId="49" fontId="24" fillId="0" borderId="64" xfId="0" applyNumberFormat="1" applyFont="1" applyBorder="1" applyAlignment="1">
      <alignment horizontal="center" vertical="center" wrapText="1"/>
    </xf>
    <xf numFmtId="14" fontId="26" fillId="0" borderId="44" xfId="0" applyNumberFormat="1" applyFont="1" applyBorder="1" applyAlignment="1">
      <alignment horizontal="left" vertical="center"/>
    </xf>
    <xf numFmtId="14" fontId="26" fillId="0" borderId="45" xfId="0" applyNumberFormat="1" applyFont="1" applyBorder="1" applyAlignment="1">
      <alignment horizontal="left" vertical="center"/>
    </xf>
    <xf numFmtId="14" fontId="26" fillId="0" borderId="46" xfId="0" applyNumberFormat="1" applyFont="1" applyBorder="1" applyAlignment="1">
      <alignment horizontal="left" vertical="center"/>
    </xf>
    <xf numFmtId="49" fontId="20" fillId="0" borderId="32" xfId="0" applyNumberFormat="1" applyFont="1" applyBorder="1" applyAlignment="1">
      <alignment horizontal="center" vertical="center"/>
    </xf>
    <xf numFmtId="49" fontId="20" fillId="0" borderId="49" xfId="0" applyNumberFormat="1" applyFont="1" applyBorder="1" applyAlignment="1">
      <alignment horizontal="center" vertical="center"/>
    </xf>
    <xf numFmtId="49" fontId="21" fillId="0" borderId="32" xfId="0" applyNumberFormat="1" applyFont="1" applyBorder="1" applyAlignment="1">
      <alignment horizontal="center" vertical="center"/>
    </xf>
    <xf numFmtId="49" fontId="21" fillId="0" borderId="52" xfId="0" applyNumberFormat="1" applyFont="1" applyBorder="1" applyAlignment="1">
      <alignment horizontal="center" vertical="center"/>
    </xf>
    <xf numFmtId="49" fontId="21" fillId="0" borderId="49" xfId="0" applyNumberFormat="1" applyFont="1" applyBorder="1" applyAlignment="1">
      <alignment horizontal="center" vertical="center"/>
    </xf>
    <xf numFmtId="49" fontId="23" fillId="0" borderId="32" xfId="0" applyNumberFormat="1" applyFont="1" applyBorder="1" applyAlignment="1">
      <alignment horizontal="center" vertical="center"/>
    </xf>
    <xf numFmtId="49" fontId="23" fillId="0" borderId="49" xfId="0" applyNumberFormat="1" applyFont="1" applyBorder="1" applyAlignment="1">
      <alignment horizontal="center" vertical="center"/>
    </xf>
    <xf numFmtId="49" fontId="21" fillId="3" borderId="40" xfId="0" applyNumberFormat="1" applyFont="1" applyFill="1" applyBorder="1" applyAlignment="1">
      <alignment horizontal="center" vertical="center"/>
    </xf>
    <xf numFmtId="49" fontId="21" fillId="3" borderId="41" xfId="0" applyNumberFormat="1" applyFont="1" applyFill="1" applyBorder="1" applyAlignment="1">
      <alignment horizontal="center" vertical="center"/>
    </xf>
    <xf numFmtId="49" fontId="0" fillId="0" borderId="32" xfId="0" applyNumberFormat="1" applyFont="1" applyBorder="1" applyAlignment="1">
      <alignment horizontal="center" vertical="center" shrinkToFit="1"/>
    </xf>
    <xf numFmtId="41" fontId="26" fillId="0" borderId="32" xfId="2" applyFont="1" applyBorder="1" applyAlignment="1">
      <alignment horizontal="right" vertical="center"/>
    </xf>
    <xf numFmtId="49" fontId="27" fillId="0" borderId="32" xfId="0" applyNumberFormat="1" applyFont="1" applyBorder="1" applyAlignment="1">
      <alignment horizontal="left" vertical="center" shrinkToFit="1"/>
    </xf>
    <xf numFmtId="49" fontId="27" fillId="0" borderId="49" xfId="0" applyNumberFormat="1" applyFont="1" applyBorder="1" applyAlignment="1">
      <alignment horizontal="left" vertical="center" shrinkToFit="1"/>
    </xf>
    <xf numFmtId="49" fontId="21" fillId="3" borderId="44" xfId="0" applyNumberFormat="1" applyFont="1" applyFill="1" applyBorder="1" applyAlignment="1">
      <alignment horizontal="center" vertical="center"/>
    </xf>
    <xf numFmtId="49" fontId="21" fillId="3" borderId="45" xfId="0" applyNumberFormat="1" applyFont="1" applyFill="1" applyBorder="1" applyAlignment="1">
      <alignment horizontal="center" vertical="center"/>
    </xf>
    <xf numFmtId="49" fontId="21" fillId="3" borderId="43" xfId="0" applyNumberFormat="1" applyFont="1" applyFill="1" applyBorder="1" applyAlignment="1">
      <alignment horizontal="center" vertical="center"/>
    </xf>
    <xf numFmtId="49" fontId="25" fillId="3" borderId="65" xfId="0" applyNumberFormat="1" applyFont="1" applyFill="1" applyBorder="1" applyAlignment="1">
      <alignment horizontal="center" vertical="center"/>
    </xf>
    <xf numFmtId="49" fontId="25" fillId="3" borderId="66" xfId="0" applyNumberFormat="1" applyFont="1" applyFill="1" applyBorder="1" applyAlignment="1">
      <alignment horizontal="center" vertical="center"/>
    </xf>
    <xf numFmtId="49" fontId="25" fillId="3" borderId="67" xfId="0" applyNumberFormat="1" applyFont="1" applyFill="1" applyBorder="1" applyAlignment="1">
      <alignment horizontal="center" vertical="center"/>
    </xf>
    <xf numFmtId="49" fontId="15" fillId="3" borderId="72" xfId="0" applyNumberFormat="1" applyFont="1" applyFill="1" applyBorder="1" applyAlignment="1">
      <alignment horizontal="center" vertical="center"/>
    </xf>
    <xf numFmtId="49" fontId="15" fillId="3" borderId="57" xfId="0" applyNumberFormat="1" applyFont="1" applyFill="1" applyBorder="1" applyAlignment="1">
      <alignment horizontal="center" vertical="center"/>
    </xf>
    <xf numFmtId="49" fontId="23" fillId="3" borderId="68" xfId="0" applyNumberFormat="1" applyFont="1" applyFill="1" applyBorder="1" applyAlignment="1">
      <alignment horizontal="right" vertical="center"/>
    </xf>
    <xf numFmtId="49" fontId="23" fillId="3" borderId="69" xfId="0" applyNumberFormat="1" applyFont="1" applyFill="1" applyBorder="1" applyAlignment="1">
      <alignment horizontal="right" vertical="center"/>
    </xf>
    <xf numFmtId="0" fontId="25" fillId="3" borderId="69" xfId="0" applyFont="1" applyFill="1" applyBorder="1" applyAlignment="1">
      <alignment horizontal="left" vertical="center"/>
    </xf>
    <xf numFmtId="0" fontId="0" fillId="3" borderId="69" xfId="0" applyFill="1" applyBorder="1" applyAlignment="1">
      <alignment horizontal="left" vertical="center"/>
    </xf>
    <xf numFmtId="0" fontId="0" fillId="3" borderId="70" xfId="0" applyFill="1" applyBorder="1" applyAlignment="1">
      <alignment horizontal="left" vertical="center"/>
    </xf>
    <xf numFmtId="0" fontId="26" fillId="0" borderId="52" xfId="0" applyNumberFormat="1" applyFont="1" applyBorder="1" applyAlignment="1">
      <alignment horizontal="center" vertical="center" shrinkToFit="1"/>
    </xf>
    <xf numFmtId="0" fontId="26" fillId="0" borderId="53" xfId="0" applyNumberFormat="1" applyFont="1" applyBorder="1" applyAlignment="1">
      <alignment horizontal="center" vertical="center" shrinkToFit="1"/>
    </xf>
    <xf numFmtId="0" fontId="26" fillId="0" borderId="51" xfId="0" applyNumberFormat="1" applyFont="1" applyBorder="1" applyAlignment="1">
      <alignment horizontal="center" vertical="center" shrinkToFit="1"/>
    </xf>
    <xf numFmtId="0" fontId="26" fillId="0" borderId="52" xfId="0" applyNumberFormat="1" applyFont="1" applyBorder="1" applyAlignment="1">
      <alignment horizontal="center" vertical="center"/>
    </xf>
    <xf numFmtId="0" fontId="26" fillId="0" borderId="53" xfId="0" applyNumberFormat="1" applyFont="1" applyBorder="1" applyAlignment="1">
      <alignment horizontal="center" vertical="center"/>
    </xf>
    <xf numFmtId="0" fontId="26" fillId="0" borderId="51" xfId="0" applyNumberFormat="1" applyFont="1" applyBorder="1" applyAlignment="1">
      <alignment horizontal="center" vertical="center"/>
    </xf>
    <xf numFmtId="49" fontId="18" fillId="2" borderId="81" xfId="0" applyNumberFormat="1" applyFont="1" applyFill="1" applyBorder="1" applyAlignment="1">
      <alignment horizontal="center" vertical="center" wrapText="1"/>
    </xf>
    <xf numFmtId="49" fontId="18" fillId="2" borderId="82" xfId="0" applyNumberFormat="1" applyFont="1" applyFill="1" applyBorder="1" applyAlignment="1">
      <alignment horizontal="center" vertical="center" wrapText="1"/>
    </xf>
    <xf numFmtId="49" fontId="18" fillId="2" borderId="85" xfId="0" applyNumberFormat="1" applyFont="1" applyFill="1" applyBorder="1" applyAlignment="1">
      <alignment horizontal="center" vertical="center" wrapText="1"/>
    </xf>
    <xf numFmtId="49" fontId="18" fillId="2" borderId="86" xfId="0" applyNumberFormat="1" applyFont="1" applyFill="1" applyBorder="1" applyAlignment="1">
      <alignment horizontal="center" vertical="center" wrapText="1"/>
    </xf>
    <xf numFmtId="49" fontId="18" fillId="2" borderId="88" xfId="0" applyNumberFormat="1" applyFont="1" applyFill="1" applyBorder="1" applyAlignment="1">
      <alignment horizontal="center" vertical="center" wrapText="1"/>
    </xf>
    <xf numFmtId="49" fontId="18" fillId="2" borderId="89" xfId="0" applyNumberFormat="1" applyFont="1" applyFill="1" applyBorder="1" applyAlignment="1">
      <alignment horizontal="center" vertical="center" wrapText="1"/>
    </xf>
    <xf numFmtId="49" fontId="0" fillId="0" borderId="83" xfId="0" applyNumberFormat="1" applyBorder="1" applyAlignment="1">
      <alignment horizontal="center" vertical="center"/>
    </xf>
    <xf numFmtId="49" fontId="0" fillId="0" borderId="84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87" xfId="0" applyNumberFormat="1" applyBorder="1" applyAlignment="1">
      <alignment horizontal="center" vertical="center"/>
    </xf>
    <xf numFmtId="49" fontId="30" fillId="0" borderId="90" xfId="3" applyNumberFormat="1" applyBorder="1" applyAlignment="1" applyProtection="1">
      <alignment horizontal="center" vertical="center"/>
    </xf>
    <xf numFmtId="49" fontId="0" fillId="0" borderId="91" xfId="0" applyNumberFormat="1" applyBorder="1" applyAlignment="1">
      <alignment horizontal="center" vertical="center"/>
    </xf>
    <xf numFmtId="49" fontId="0" fillId="0" borderId="92" xfId="0" applyNumberFormat="1" applyBorder="1" applyAlignment="1">
      <alignment horizontal="center" vertical="center"/>
    </xf>
    <xf numFmtId="49" fontId="31" fillId="0" borderId="0" xfId="0" applyNumberFormat="1" applyFont="1" applyAlignment="1">
      <alignment horizontal="center" vertical="center"/>
    </xf>
    <xf numFmtId="49" fontId="20" fillId="2" borderId="76" xfId="0" applyNumberFormat="1" applyFont="1" applyFill="1" applyBorder="1" applyAlignment="1">
      <alignment horizontal="center" vertical="center"/>
    </xf>
    <xf numFmtId="49" fontId="20" fillId="2" borderId="77" xfId="0" applyNumberFormat="1" applyFont="1" applyFill="1" applyBorder="1" applyAlignment="1">
      <alignment horizontal="center" vertical="center"/>
    </xf>
    <xf numFmtId="41" fontId="15" fillId="2" borderId="78" xfId="0" applyNumberFormat="1" applyFont="1" applyFill="1" applyBorder="1" applyAlignment="1">
      <alignment horizontal="right" vertical="center"/>
    </xf>
    <xf numFmtId="0" fontId="15" fillId="2" borderId="79" xfId="0" applyFont="1" applyFill="1" applyBorder="1" applyAlignment="1">
      <alignment horizontal="right" vertical="center"/>
    </xf>
    <xf numFmtId="0" fontId="15" fillId="2" borderId="77" xfId="0" applyFont="1" applyFill="1" applyBorder="1" applyAlignment="1">
      <alignment horizontal="right" vertical="center"/>
    </xf>
    <xf numFmtId="49" fontId="20" fillId="2" borderId="78" xfId="0" applyNumberFormat="1" applyFont="1" applyFill="1" applyBorder="1" applyAlignment="1">
      <alignment horizontal="center" vertical="center"/>
    </xf>
    <xf numFmtId="49" fontId="20" fillId="2" borderId="79" xfId="0" applyNumberFormat="1" applyFont="1" applyFill="1" applyBorder="1" applyAlignment="1">
      <alignment horizontal="center" vertical="center"/>
    </xf>
    <xf numFmtId="178" fontId="15" fillId="2" borderId="78" xfId="0" applyNumberFormat="1" applyFont="1" applyFill="1" applyBorder="1" applyAlignment="1">
      <alignment horizontal="right" vertical="center"/>
    </xf>
    <xf numFmtId="178" fontId="15" fillId="2" borderId="79" xfId="0" applyNumberFormat="1" applyFont="1" applyFill="1" applyBorder="1" applyAlignment="1">
      <alignment horizontal="right" vertical="center"/>
    </xf>
    <xf numFmtId="178" fontId="15" fillId="2" borderId="77" xfId="0" applyNumberFormat="1" applyFont="1" applyFill="1" applyBorder="1" applyAlignment="1">
      <alignment horizontal="right" vertical="center"/>
    </xf>
    <xf numFmtId="49" fontId="15" fillId="3" borderId="78" xfId="0" applyNumberFormat="1" applyFont="1" applyFill="1" applyBorder="1" applyAlignment="1">
      <alignment horizontal="center" vertical="center"/>
    </xf>
    <xf numFmtId="49" fontId="15" fillId="3" borderId="79" xfId="0" applyNumberFormat="1" applyFont="1" applyFill="1" applyBorder="1" applyAlignment="1">
      <alignment horizontal="center" vertical="center"/>
    </xf>
    <xf numFmtId="49" fontId="15" fillId="3" borderId="77" xfId="0" applyNumberFormat="1" applyFont="1" applyFill="1" applyBorder="1" applyAlignment="1">
      <alignment horizontal="center" vertical="center"/>
    </xf>
    <xf numFmtId="41" fontId="15" fillId="3" borderId="78" xfId="0" applyNumberFormat="1" applyFont="1" applyFill="1" applyBorder="1" applyAlignment="1">
      <alignment horizontal="right" vertical="center"/>
    </xf>
    <xf numFmtId="0" fontId="15" fillId="3" borderId="79" xfId="0" applyFont="1" applyFill="1" applyBorder="1" applyAlignment="1">
      <alignment horizontal="right" vertical="center"/>
    </xf>
    <xf numFmtId="0" fontId="15" fillId="3" borderId="80" xfId="0" applyFont="1" applyFill="1" applyBorder="1" applyAlignment="1">
      <alignment horizontal="right" vertical="center"/>
    </xf>
  </cellXfs>
  <cellStyles count="4">
    <cellStyle name="쉼표 [0]" xfId="2" builtinId="6"/>
    <cellStyle name="표준" xfId="0" builtinId="0"/>
    <cellStyle name="표준 2" xfId="1"/>
    <cellStyle name="하이퍼링크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498771</xdr:colOff>
      <xdr:row>3</xdr:row>
      <xdr:rowOff>63588</xdr:rowOff>
    </xdr:from>
    <xdr:to>
      <xdr:col>12</xdr:col>
      <xdr:colOff>372580</xdr:colOff>
      <xdr:row>5</xdr:row>
      <xdr:rowOff>16449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AFF"/>
            </a:clrFrom>
            <a:clrTo>
              <a:srgbClr val="FFFA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455678">
          <a:off x="6994821" y="863688"/>
          <a:ext cx="559609" cy="5508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9525</xdr:colOff>
      <xdr:row>1</xdr:row>
      <xdr:rowOff>104775</xdr:rowOff>
    </xdr:from>
    <xdr:to>
      <xdr:col>30</xdr:col>
      <xdr:colOff>123825</xdr:colOff>
      <xdr:row>2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82664D-5DD2-BD07-0176-CCB3946E4E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6147" t="33426" r="55576" b="51891"/>
        <a:stretch>
          <a:fillRect/>
        </a:stretch>
      </xdr:blipFill>
      <xdr:spPr bwMode="auto">
        <a:xfrm rot="839080">
          <a:off x="6429375" y="742950"/>
          <a:ext cx="342900" cy="333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29</xdr:col>
      <xdr:colOff>9525</xdr:colOff>
      <xdr:row>1</xdr:row>
      <xdr:rowOff>171450</xdr:rowOff>
    </xdr:from>
    <xdr:to>
      <xdr:col>31</xdr:col>
      <xdr:colOff>123825</xdr:colOff>
      <xdr:row>1</xdr:row>
      <xdr:rowOff>171450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A3C87DA2-010C-73EA-3E6B-E97BFC2F0E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6147" t="33426" r="55576" b="51891"/>
        <a:stretch>
          <a:fillRect/>
        </a:stretch>
      </xdr:blipFill>
      <xdr:spPr bwMode="auto">
        <a:xfrm rot="839080">
          <a:off x="6429375" y="809625"/>
          <a:ext cx="48577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10</xdr:col>
      <xdr:colOff>161925</xdr:colOff>
      <xdr:row>40</xdr:row>
      <xdr:rowOff>28575</xdr:rowOff>
    </xdr:from>
    <xdr:to>
      <xdr:col>11</xdr:col>
      <xdr:colOff>180975</xdr:colOff>
      <xdr:row>41</xdr:row>
      <xdr:rowOff>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38A57642-B954-DE07-3D70-B69490E66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500" t="39999" r="53229" b="52406"/>
        <a:stretch>
          <a:fillRect/>
        </a:stretch>
      </xdr:blipFill>
      <xdr:spPr bwMode="auto">
        <a:xfrm>
          <a:off x="2238375" y="8591550"/>
          <a:ext cx="2476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29</xdr:col>
      <xdr:colOff>28575</xdr:colOff>
      <xdr:row>2</xdr:row>
      <xdr:rowOff>0</xdr:rowOff>
    </xdr:from>
    <xdr:to>
      <xdr:col>31</xdr:col>
      <xdr:colOff>123825</xdr:colOff>
      <xdr:row>2</xdr:row>
      <xdr:rowOff>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1BC869B-9ED6-0FC4-34F9-60298112CA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6147" t="33426" r="55576" b="51891"/>
        <a:stretch>
          <a:fillRect/>
        </a:stretch>
      </xdr:blipFill>
      <xdr:spPr bwMode="auto">
        <a:xfrm rot="839080">
          <a:off x="6448425" y="914400"/>
          <a:ext cx="4667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10</xdr:col>
      <xdr:colOff>161925</xdr:colOff>
      <xdr:row>41</xdr:row>
      <xdr:rowOff>28575</xdr:rowOff>
    </xdr:from>
    <xdr:to>
      <xdr:col>11</xdr:col>
      <xdr:colOff>180975</xdr:colOff>
      <xdr:row>42</xdr:row>
      <xdr:rowOff>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D28ED284-03CA-A8BF-8F08-677F806D48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500" t="39999" r="53229" b="52406"/>
        <a:stretch>
          <a:fillRect/>
        </a:stretch>
      </xdr:blipFill>
      <xdr:spPr bwMode="auto">
        <a:xfrm>
          <a:off x="2238375" y="8629650"/>
          <a:ext cx="247650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hk4.co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abSelected="1" workbookViewId="0">
      <selection activeCell="A31" sqref="A31"/>
    </sheetView>
  </sheetViews>
  <sheetFormatPr defaultRowHeight="16.5"/>
  <cols>
    <col min="1" max="1" width="94.75" bestFit="1" customWidth="1"/>
  </cols>
  <sheetData>
    <row r="1" spans="1:5">
      <c r="A1" t="s">
        <v>35</v>
      </c>
      <c r="B1" t="s">
        <v>36</v>
      </c>
      <c r="C1" t="s">
        <v>37</v>
      </c>
    </row>
    <row r="2" spans="1:5">
      <c r="A2" s="53" t="s">
        <v>97</v>
      </c>
      <c r="B2" s="54">
        <v>10</v>
      </c>
      <c r="C2" s="55">
        <v>12000</v>
      </c>
      <c r="D2" s="55">
        <v>120000</v>
      </c>
    </row>
    <row r="3" spans="1:5">
      <c r="A3" s="53" t="s">
        <v>98</v>
      </c>
      <c r="B3" s="54">
        <v>20</v>
      </c>
      <c r="C3" s="55">
        <v>2800</v>
      </c>
      <c r="D3" s="55">
        <v>56000</v>
      </c>
      <c r="E3" s="52"/>
    </row>
    <row r="4" spans="1:5">
      <c r="A4" s="53" t="s">
        <v>93</v>
      </c>
      <c r="B4" s="54">
        <v>1</v>
      </c>
      <c r="C4" s="55">
        <v>78000</v>
      </c>
      <c r="D4" s="55">
        <v>78000</v>
      </c>
    </row>
    <row r="5" spans="1:5">
      <c r="A5" s="53" t="s">
        <v>99</v>
      </c>
      <c r="B5" s="54">
        <v>1</v>
      </c>
      <c r="C5" s="55">
        <v>500000</v>
      </c>
      <c r="D5" s="55">
        <v>500000</v>
      </c>
    </row>
    <row r="6" spans="1:5">
      <c r="A6" s="53" t="s">
        <v>100</v>
      </c>
      <c r="B6" s="54">
        <v>1</v>
      </c>
      <c r="C6" s="55">
        <v>318182</v>
      </c>
      <c r="D6" s="55">
        <v>318182</v>
      </c>
    </row>
    <row r="7" spans="1:5">
      <c r="A7" s="53" t="s">
        <v>101</v>
      </c>
      <c r="B7" s="54">
        <v>1</v>
      </c>
      <c r="C7" s="55">
        <v>286364</v>
      </c>
      <c r="D7" s="55">
        <v>286364</v>
      </c>
    </row>
    <row r="8" spans="1:5">
      <c r="A8" s="53"/>
      <c r="B8" s="54"/>
      <c r="C8" s="55"/>
    </row>
    <row r="9" spans="1:5">
      <c r="A9" s="53"/>
      <c r="B9" s="54"/>
      <c r="C9" s="55"/>
    </row>
    <row r="10" spans="1:5">
      <c r="A10" s="53"/>
      <c r="B10" s="54"/>
      <c r="C10" s="55"/>
    </row>
    <row r="11" spans="1:5">
      <c r="A11" s="53"/>
      <c r="B11" s="54"/>
      <c r="C11" s="55"/>
    </row>
    <row r="12" spans="1:5">
      <c r="A12" s="53"/>
      <c r="B12" s="54"/>
      <c r="C12" s="55"/>
    </row>
    <row r="13" spans="1:5">
      <c r="A13" s="53"/>
      <c r="B13" s="54"/>
      <c r="C13" s="55"/>
    </row>
    <row r="14" spans="1:5">
      <c r="A14" s="53"/>
      <c r="B14" s="54"/>
      <c r="C14" s="55"/>
    </row>
    <row r="15" spans="1:5">
      <c r="A15" s="53"/>
      <c r="B15" s="54"/>
      <c r="C15" s="55"/>
    </row>
    <row r="16" spans="1:5">
      <c r="A16" s="53"/>
      <c r="B16" s="54"/>
      <c r="C16" s="55"/>
    </row>
    <row r="17" spans="1:3">
      <c r="A17" s="53"/>
      <c r="B17" s="54"/>
      <c r="C17" s="55"/>
    </row>
    <row r="18" spans="1:3">
      <c r="A18" s="53"/>
      <c r="B18" s="54"/>
      <c r="C18" s="55"/>
    </row>
    <row r="19" spans="1:3">
      <c r="A19" s="53"/>
      <c r="B19" s="54"/>
      <c r="C19" s="55"/>
    </row>
    <row r="20" spans="1:3">
      <c r="A20" s="53"/>
      <c r="B20" s="54"/>
      <c r="C20" s="55"/>
    </row>
    <row r="21" spans="1:3">
      <c r="A21" s="53"/>
      <c r="B21" s="54"/>
      <c r="C21" s="55"/>
    </row>
    <row r="22" spans="1:3">
      <c r="A22" s="53"/>
      <c r="B22" s="54"/>
      <c r="C22" s="55"/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8"/>
  <sheetViews>
    <sheetView zoomScale="115" zoomScaleNormal="115" workbookViewId="0">
      <selection activeCell="B15" sqref="B15:E15"/>
    </sheetView>
  </sheetViews>
  <sheetFormatPr defaultRowHeight="16.5"/>
  <cols>
    <col min="1" max="1" width="4.875" customWidth="1"/>
    <col min="3" max="3" width="12.25" customWidth="1"/>
    <col min="5" max="5" width="12" customWidth="1"/>
    <col min="6" max="7" width="5.125" customWidth="1"/>
    <col min="8" max="8" width="11.625" customWidth="1"/>
    <col min="9" max="9" width="18.625" customWidth="1"/>
    <col min="10" max="10" width="4.625" customWidth="1"/>
    <col min="11" max="11" width="1.75" customWidth="1"/>
    <col min="13" max="13" width="6" customWidth="1"/>
  </cols>
  <sheetData>
    <row r="1" spans="1:13" ht="17.25" thickTop="1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1"/>
    </row>
    <row r="2" spans="1:13" ht="22.5" customHeight="1">
      <c r="A2" s="72" t="s">
        <v>30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4"/>
    </row>
    <row r="3" spans="1:13" ht="23.25" customHeight="1" thickBot="1">
      <c r="A3" s="75" t="s">
        <v>29</v>
      </c>
      <c r="B3" s="76"/>
      <c r="C3" s="76"/>
      <c r="D3" s="76"/>
      <c r="E3" s="76"/>
      <c r="F3" s="76"/>
      <c r="G3" s="76"/>
      <c r="H3" s="76"/>
      <c r="I3" s="76"/>
      <c r="J3" s="76"/>
      <c r="K3" s="76"/>
      <c r="L3" s="76"/>
      <c r="M3" s="77"/>
    </row>
    <row r="4" spans="1:13" ht="18.600000000000001" customHeight="1" thickTop="1">
      <c r="A4" s="78"/>
      <c r="B4" s="60">
        <f ca="1">TODAY()</f>
        <v>46087</v>
      </c>
      <c r="C4" s="60"/>
      <c r="D4" s="60"/>
      <c r="E4" s="79"/>
      <c r="F4" s="80" t="s">
        <v>1</v>
      </c>
      <c r="G4" s="81"/>
      <c r="H4" s="2" t="s">
        <v>4</v>
      </c>
      <c r="I4" s="62" t="s">
        <v>31</v>
      </c>
      <c r="J4" s="63"/>
      <c r="K4" s="63"/>
      <c r="L4" s="63"/>
      <c r="M4" s="64"/>
    </row>
    <row r="5" spans="1:13" ht="29.25" customHeight="1">
      <c r="A5" s="78"/>
      <c r="B5" s="61"/>
      <c r="C5" s="61"/>
      <c r="D5" s="61"/>
      <c r="E5" s="79"/>
      <c r="F5" s="82"/>
      <c r="G5" s="83"/>
      <c r="H5" s="3" t="s">
        <v>5</v>
      </c>
      <c r="I5" s="21" t="s">
        <v>28</v>
      </c>
      <c r="J5" s="65" t="s">
        <v>6</v>
      </c>
      <c r="K5" s="66"/>
      <c r="L5" s="67" t="s">
        <v>22</v>
      </c>
      <c r="M5" s="68"/>
    </row>
    <row r="6" spans="1:13" ht="31.5" customHeight="1">
      <c r="A6" s="1"/>
      <c r="B6" s="97" t="s">
        <v>102</v>
      </c>
      <c r="C6" s="97"/>
      <c r="D6" s="97"/>
      <c r="E6" s="8" t="s">
        <v>24</v>
      </c>
      <c r="F6" s="91" t="s">
        <v>2</v>
      </c>
      <c r="G6" s="92"/>
      <c r="H6" s="5" t="s">
        <v>7</v>
      </c>
      <c r="I6" s="65" t="s">
        <v>33</v>
      </c>
      <c r="J6" s="84"/>
      <c r="K6" s="84"/>
      <c r="L6" s="84"/>
      <c r="M6" s="85"/>
    </row>
    <row r="7" spans="1:13" ht="27" customHeight="1">
      <c r="A7" s="78"/>
      <c r="B7" s="95" t="s">
        <v>8</v>
      </c>
      <c r="C7" s="95"/>
      <c r="D7" s="10"/>
      <c r="E7" s="79"/>
      <c r="F7" s="82"/>
      <c r="G7" s="83"/>
      <c r="H7" s="5" t="s">
        <v>9</v>
      </c>
      <c r="I7" s="4" t="s">
        <v>10</v>
      </c>
      <c r="J7" s="65" t="s">
        <v>11</v>
      </c>
      <c r="K7" s="66"/>
      <c r="L7" s="65" t="s">
        <v>25</v>
      </c>
      <c r="M7" s="85"/>
    </row>
    <row r="8" spans="1:13" ht="27.75" customHeight="1" thickBot="1">
      <c r="A8" s="86"/>
      <c r="B8" s="96"/>
      <c r="C8" s="96"/>
      <c r="D8" s="11"/>
      <c r="E8" s="87"/>
      <c r="F8" s="93" t="s">
        <v>3</v>
      </c>
      <c r="G8" s="94"/>
      <c r="H8" s="6" t="s">
        <v>12</v>
      </c>
      <c r="I8" s="88" t="s">
        <v>32</v>
      </c>
      <c r="J8" s="89"/>
      <c r="K8" s="89"/>
      <c r="L8" s="89"/>
      <c r="M8" s="90"/>
    </row>
    <row r="9" spans="1:13" ht="24.95" customHeight="1" thickTop="1" thickBot="1">
      <c r="A9" s="109" t="s">
        <v>27</v>
      </c>
      <c r="B9" s="110"/>
      <c r="C9" s="110"/>
      <c r="D9" s="110"/>
      <c r="E9" s="9" t="s">
        <v>26</v>
      </c>
      <c r="F9" s="111">
        <f>J9</f>
        <v>1718090</v>
      </c>
      <c r="G9" s="111"/>
      <c r="H9" s="111"/>
      <c r="I9" s="111"/>
      <c r="J9" s="112">
        <f>I34+K34</f>
        <v>1718090</v>
      </c>
      <c r="K9" s="112"/>
      <c r="L9" s="112"/>
      <c r="M9" s="113"/>
    </row>
    <row r="10" spans="1:13" ht="24.95" customHeight="1" thickTop="1">
      <c r="A10" s="56" t="s">
        <v>13</v>
      </c>
      <c r="B10" s="114" t="s">
        <v>34</v>
      </c>
      <c r="C10" s="115"/>
      <c r="D10" s="115"/>
      <c r="E10" s="116"/>
      <c r="F10" s="57" t="s">
        <v>23</v>
      </c>
      <c r="G10" s="57" t="s">
        <v>14</v>
      </c>
      <c r="H10" s="57" t="s">
        <v>15</v>
      </c>
      <c r="I10" s="114" t="s">
        <v>16</v>
      </c>
      <c r="J10" s="116"/>
      <c r="K10" s="114" t="s">
        <v>17</v>
      </c>
      <c r="L10" s="116"/>
      <c r="M10" s="58" t="s">
        <v>18</v>
      </c>
    </row>
    <row r="11" spans="1:13" ht="24.95" customHeight="1">
      <c r="A11" s="14">
        <v>1</v>
      </c>
      <c r="B11" s="117" t="str">
        <f>자재피아기본견적!A2</f>
        <v>원형오뚜기 체인걸이형/기본인쇄 [L360*H1080mm/주차금지 반사지]</v>
      </c>
      <c r="C11" s="118"/>
      <c r="D11" s="118"/>
      <c r="E11" s="119"/>
      <c r="F11" s="59">
        <f>자재피아기본견적!B2</f>
        <v>10</v>
      </c>
      <c r="G11" s="4"/>
      <c r="H11" s="7">
        <f>ROUND(자재피아기본견적!C2*1.15,-2)</f>
        <v>13800</v>
      </c>
      <c r="I11" s="104">
        <f>H11*F11</f>
        <v>138000</v>
      </c>
      <c r="J11" s="105"/>
      <c r="K11" s="104">
        <f>I11*0.1</f>
        <v>13800</v>
      </c>
      <c r="L11" s="105"/>
      <c r="M11" s="15"/>
    </row>
    <row r="12" spans="1:13" ht="24.95" customHeight="1">
      <c r="A12" s="22">
        <v>2</v>
      </c>
      <c r="B12" s="117" t="str">
        <f>자재피아기본견적!A3</f>
        <v>칼라콘/SJ [380*380*h680]</v>
      </c>
      <c r="C12" s="118"/>
      <c r="D12" s="118"/>
      <c r="E12" s="119"/>
      <c r="F12" s="59">
        <f>자재피아기본견적!B3</f>
        <v>20</v>
      </c>
      <c r="G12" s="4"/>
      <c r="H12" s="7">
        <f>ROUND(자재피아기본견적!C3*1.15,-2)</f>
        <v>3200</v>
      </c>
      <c r="I12" s="104">
        <f>H12*F12</f>
        <v>64000</v>
      </c>
      <c r="J12" s="105"/>
      <c r="K12" s="104">
        <f>I12*0.1</f>
        <v>6400</v>
      </c>
      <c r="L12" s="105"/>
      <c r="M12" s="16"/>
    </row>
    <row r="13" spans="1:13" ht="24.95" customHeight="1">
      <c r="A13" s="22">
        <v>3</v>
      </c>
      <c r="B13" s="117" t="str">
        <f>자재피아기본견적!A4</f>
        <v>배송료</v>
      </c>
      <c r="C13" s="118"/>
      <c r="D13" s="118"/>
      <c r="E13" s="119"/>
      <c r="F13" s="59">
        <f>자재피아기본견적!B4</f>
        <v>1</v>
      </c>
      <c r="G13" s="4"/>
      <c r="H13" s="7">
        <f>ROUND(자재피아기본견적!C4*1.15,-2)</f>
        <v>89700</v>
      </c>
      <c r="I13" s="104">
        <f>H13*F13</f>
        <v>89700</v>
      </c>
      <c r="J13" s="105"/>
      <c r="K13" s="104">
        <f>I13*0.1</f>
        <v>8970</v>
      </c>
      <c r="L13" s="105"/>
      <c r="M13" s="16"/>
    </row>
    <row r="14" spans="1:13" ht="24.95" customHeight="1">
      <c r="A14" s="22">
        <v>4</v>
      </c>
      <c r="B14" s="117" t="str">
        <f>자재피아기본견적!A5</f>
        <v>나눔테크 심장충격기 (연습용) [NT-381.CT]</v>
      </c>
      <c r="C14" s="118"/>
      <c r="D14" s="118"/>
      <c r="E14" s="119"/>
      <c r="F14" s="59">
        <f>자재피아기본견적!B5</f>
        <v>1</v>
      </c>
      <c r="G14" s="4"/>
      <c r="H14" s="7">
        <f>ROUND(자재피아기본견적!C5*1.15,-2)</f>
        <v>575000</v>
      </c>
      <c r="I14" s="104">
        <f t="shared" ref="I14:I20" si="0">H14*F14</f>
        <v>575000</v>
      </c>
      <c r="J14" s="105"/>
      <c r="K14" s="104">
        <f t="shared" ref="K14:K20" si="1">I14*0.1</f>
        <v>57500</v>
      </c>
      <c r="L14" s="105"/>
      <c r="M14" s="17"/>
    </row>
    <row r="15" spans="1:13" ht="24.95" customHeight="1">
      <c r="A15" s="22">
        <v>5</v>
      </c>
      <c r="B15" s="117" t="str">
        <f>자재피아기본견적!A6</f>
        <v>프레스탄모니터형마네킹</v>
      </c>
      <c r="C15" s="118"/>
      <c r="D15" s="118"/>
      <c r="E15" s="119"/>
      <c r="F15" s="59">
        <f>자재피아기본견적!B6</f>
        <v>1</v>
      </c>
      <c r="G15" s="4"/>
      <c r="H15" s="7">
        <f>ROUND(자재피아기본견적!C6*1.15,-2)</f>
        <v>365900</v>
      </c>
      <c r="I15" s="104">
        <f t="shared" si="0"/>
        <v>365900</v>
      </c>
      <c r="J15" s="105"/>
      <c r="K15" s="104">
        <f t="shared" si="1"/>
        <v>36590</v>
      </c>
      <c r="L15" s="105"/>
      <c r="M15" s="17"/>
    </row>
    <row r="16" spans="1:13" ht="24.95" customHeight="1">
      <c r="A16" s="23">
        <v>6</v>
      </c>
      <c r="B16" s="117" t="str">
        <f>자재피아기본견적!A7</f>
        <v>프레스탄일반형마네킹</v>
      </c>
      <c r="C16" s="118"/>
      <c r="D16" s="118"/>
      <c r="E16" s="119"/>
      <c r="F16" s="59">
        <f>자재피아기본견적!B7</f>
        <v>1</v>
      </c>
      <c r="G16" s="4"/>
      <c r="H16" s="7">
        <f>ROUND(자재피아기본견적!C7*1.15,-2)</f>
        <v>329300</v>
      </c>
      <c r="I16" s="104">
        <f t="shared" si="0"/>
        <v>329300</v>
      </c>
      <c r="J16" s="105"/>
      <c r="K16" s="104">
        <f t="shared" si="1"/>
        <v>32930</v>
      </c>
      <c r="L16" s="105"/>
      <c r="M16" s="15"/>
    </row>
    <row r="17" spans="1:13" ht="24.95" customHeight="1">
      <c r="A17" s="24">
        <v>7</v>
      </c>
      <c r="B17" s="117"/>
      <c r="C17" s="118"/>
      <c r="D17" s="118"/>
      <c r="E17" s="119"/>
      <c r="F17" s="59">
        <f>자재피아기본견적!B8</f>
        <v>0</v>
      </c>
      <c r="G17" s="4"/>
      <c r="H17" s="7">
        <f>ROUND(자재피아기본견적!C8*1.15,-2)</f>
        <v>0</v>
      </c>
      <c r="I17" s="104">
        <f t="shared" si="0"/>
        <v>0</v>
      </c>
      <c r="J17" s="105"/>
      <c r="K17" s="104">
        <f t="shared" si="1"/>
        <v>0</v>
      </c>
      <c r="L17" s="105"/>
      <c r="M17" s="15"/>
    </row>
    <row r="18" spans="1:13" ht="24.95" customHeight="1">
      <c r="A18" s="24">
        <v>8</v>
      </c>
      <c r="B18" s="117"/>
      <c r="C18" s="118"/>
      <c r="D18" s="118"/>
      <c r="E18" s="119"/>
      <c r="F18" s="59">
        <f>자재피아기본견적!B9</f>
        <v>0</v>
      </c>
      <c r="G18" s="4"/>
      <c r="H18" s="7">
        <f>ROUND(자재피아기본견적!C9*1.15,-2)</f>
        <v>0</v>
      </c>
      <c r="I18" s="104">
        <f t="shared" si="0"/>
        <v>0</v>
      </c>
      <c r="J18" s="105"/>
      <c r="K18" s="104">
        <f t="shared" si="1"/>
        <v>0</v>
      </c>
      <c r="L18" s="105"/>
      <c r="M18" s="16"/>
    </row>
    <row r="19" spans="1:13" ht="24.95" customHeight="1">
      <c r="A19" s="24">
        <v>9</v>
      </c>
      <c r="B19" s="117"/>
      <c r="C19" s="118"/>
      <c r="D19" s="118"/>
      <c r="E19" s="119"/>
      <c r="F19" s="59">
        <f>자재피아기본견적!B10</f>
        <v>0</v>
      </c>
      <c r="G19" s="4"/>
      <c r="H19" s="7">
        <f>ROUND(자재피아기본견적!C10*1.15,-2)</f>
        <v>0</v>
      </c>
      <c r="I19" s="104">
        <f t="shared" si="0"/>
        <v>0</v>
      </c>
      <c r="J19" s="105"/>
      <c r="K19" s="104">
        <f t="shared" si="1"/>
        <v>0</v>
      </c>
      <c r="L19" s="105"/>
      <c r="M19" s="15"/>
    </row>
    <row r="20" spans="1:13" ht="24.95" customHeight="1">
      <c r="A20" s="24">
        <v>10</v>
      </c>
      <c r="B20" s="117"/>
      <c r="C20" s="118"/>
      <c r="D20" s="118"/>
      <c r="E20" s="119"/>
      <c r="F20" s="59">
        <f>자재피아기본견적!B11</f>
        <v>0</v>
      </c>
      <c r="G20" s="4"/>
      <c r="H20" s="7">
        <f>ROUND(자재피아기본견적!C11*1.15,-2)</f>
        <v>0</v>
      </c>
      <c r="I20" s="104">
        <f t="shared" si="0"/>
        <v>0</v>
      </c>
      <c r="J20" s="105"/>
      <c r="K20" s="104">
        <f t="shared" si="1"/>
        <v>0</v>
      </c>
      <c r="L20" s="105"/>
      <c r="M20" s="15"/>
    </row>
    <row r="21" spans="1:13" ht="24.95" customHeight="1">
      <c r="A21" s="12">
        <v>11</v>
      </c>
      <c r="B21" s="117"/>
      <c r="C21" s="118"/>
      <c r="D21" s="118"/>
      <c r="E21" s="119"/>
      <c r="F21" s="59">
        <f>자재피아기본견적!B12</f>
        <v>0</v>
      </c>
      <c r="G21" s="4"/>
      <c r="H21" s="7">
        <f>ROUND(자재피아기본견적!C12*1.15,-2)</f>
        <v>0</v>
      </c>
      <c r="I21" s="104">
        <f t="shared" ref="I21:I33" si="2">H21*F21</f>
        <v>0</v>
      </c>
      <c r="J21" s="105"/>
      <c r="K21" s="104">
        <f t="shared" ref="K21:K34" si="3">I21*0.1</f>
        <v>0</v>
      </c>
      <c r="L21" s="105"/>
      <c r="M21" s="15"/>
    </row>
    <row r="22" spans="1:13" ht="24.95" customHeight="1">
      <c r="A22" s="14">
        <v>12</v>
      </c>
      <c r="B22" s="117"/>
      <c r="C22" s="118"/>
      <c r="D22" s="118"/>
      <c r="E22" s="119"/>
      <c r="F22" s="59">
        <f>자재피아기본견적!B13</f>
        <v>0</v>
      </c>
      <c r="G22" s="4"/>
      <c r="H22" s="7">
        <f>ROUND(자재피아기본견적!C13*1.15,-2)</f>
        <v>0</v>
      </c>
      <c r="I22" s="104">
        <f t="shared" si="2"/>
        <v>0</v>
      </c>
      <c r="J22" s="105"/>
      <c r="K22" s="104">
        <f t="shared" si="3"/>
        <v>0</v>
      </c>
      <c r="L22" s="105"/>
      <c r="M22" s="15"/>
    </row>
    <row r="23" spans="1:13" ht="24.95" customHeight="1">
      <c r="A23" s="14">
        <v>13</v>
      </c>
      <c r="B23" s="117"/>
      <c r="C23" s="118"/>
      <c r="D23" s="118"/>
      <c r="E23" s="119"/>
      <c r="F23" s="59">
        <f>자재피아기본견적!B14</f>
        <v>0</v>
      </c>
      <c r="G23" s="4"/>
      <c r="H23" s="7">
        <f>ROUND(자재피아기본견적!C14*1.15,-2)</f>
        <v>0</v>
      </c>
      <c r="I23" s="104">
        <f t="shared" si="2"/>
        <v>0</v>
      </c>
      <c r="J23" s="105"/>
      <c r="K23" s="104">
        <f t="shared" si="3"/>
        <v>0</v>
      </c>
      <c r="L23" s="105"/>
      <c r="M23" s="15"/>
    </row>
    <row r="24" spans="1:13" ht="24.95" customHeight="1">
      <c r="A24" s="14">
        <v>14</v>
      </c>
      <c r="B24" s="117"/>
      <c r="C24" s="118"/>
      <c r="D24" s="118"/>
      <c r="E24" s="119"/>
      <c r="F24" s="59">
        <f>자재피아기본견적!B15</f>
        <v>0</v>
      </c>
      <c r="G24" s="4"/>
      <c r="H24" s="7">
        <f>ROUND(자재피아기본견적!C15*1.15,-2)</f>
        <v>0</v>
      </c>
      <c r="I24" s="104">
        <f t="shared" si="2"/>
        <v>0</v>
      </c>
      <c r="J24" s="105"/>
      <c r="K24" s="104">
        <f t="shared" si="3"/>
        <v>0</v>
      </c>
      <c r="L24" s="105"/>
      <c r="M24" s="15"/>
    </row>
    <row r="25" spans="1:13" ht="24.95" customHeight="1">
      <c r="A25" s="14">
        <v>15</v>
      </c>
      <c r="B25" s="117"/>
      <c r="C25" s="118"/>
      <c r="D25" s="118"/>
      <c r="E25" s="119"/>
      <c r="F25" s="59">
        <f>자재피아기본견적!B16</f>
        <v>0</v>
      </c>
      <c r="G25" s="4"/>
      <c r="H25" s="7">
        <f>ROUND(자재피아기본견적!C16*1.15,-2)</f>
        <v>0</v>
      </c>
      <c r="I25" s="104">
        <f t="shared" si="2"/>
        <v>0</v>
      </c>
      <c r="J25" s="105"/>
      <c r="K25" s="104">
        <f t="shared" si="3"/>
        <v>0</v>
      </c>
      <c r="L25" s="105"/>
      <c r="M25" s="15"/>
    </row>
    <row r="26" spans="1:13" ht="24.95" customHeight="1">
      <c r="A26" s="12">
        <v>16</v>
      </c>
      <c r="B26" s="117"/>
      <c r="C26" s="118"/>
      <c r="D26" s="118"/>
      <c r="E26" s="119"/>
      <c r="F26" s="59">
        <f>자재피아기본견적!B17</f>
        <v>0</v>
      </c>
      <c r="G26" s="4"/>
      <c r="H26" s="7">
        <f>ROUND(자재피아기본견적!C17*1.15,-2)</f>
        <v>0</v>
      </c>
      <c r="I26" s="104">
        <f t="shared" si="2"/>
        <v>0</v>
      </c>
      <c r="J26" s="105"/>
      <c r="K26" s="104">
        <f t="shared" si="3"/>
        <v>0</v>
      </c>
      <c r="L26" s="105"/>
      <c r="M26" s="15"/>
    </row>
    <row r="27" spans="1:13" ht="24.95" customHeight="1">
      <c r="A27" s="14">
        <v>17</v>
      </c>
      <c r="B27" s="117"/>
      <c r="C27" s="118"/>
      <c r="D27" s="118"/>
      <c r="E27" s="119"/>
      <c r="F27" s="59">
        <f>자재피아기본견적!B18</f>
        <v>0</v>
      </c>
      <c r="G27" s="4"/>
      <c r="H27" s="7">
        <f>ROUND(자재피아기본견적!C18*1.15,-2)</f>
        <v>0</v>
      </c>
      <c r="I27" s="104">
        <f t="shared" si="2"/>
        <v>0</v>
      </c>
      <c r="J27" s="105"/>
      <c r="K27" s="104">
        <f t="shared" si="3"/>
        <v>0</v>
      </c>
      <c r="L27" s="105"/>
      <c r="M27" s="15"/>
    </row>
    <row r="28" spans="1:13" ht="24.95" customHeight="1">
      <c r="A28" s="14">
        <v>18</v>
      </c>
      <c r="B28" s="117"/>
      <c r="C28" s="118"/>
      <c r="D28" s="118"/>
      <c r="E28" s="119"/>
      <c r="F28" s="59">
        <f>자재피아기본견적!B19</f>
        <v>0</v>
      </c>
      <c r="G28" s="4"/>
      <c r="H28" s="7">
        <f>ROUND(자재피아기본견적!C19*1.15,-2)</f>
        <v>0</v>
      </c>
      <c r="I28" s="104">
        <f t="shared" si="2"/>
        <v>0</v>
      </c>
      <c r="J28" s="105"/>
      <c r="K28" s="104">
        <f t="shared" si="3"/>
        <v>0</v>
      </c>
      <c r="L28" s="105"/>
      <c r="M28" s="15"/>
    </row>
    <row r="29" spans="1:13" ht="24.95" customHeight="1">
      <c r="A29" s="14">
        <v>19</v>
      </c>
      <c r="B29" s="117"/>
      <c r="C29" s="118"/>
      <c r="D29" s="118"/>
      <c r="E29" s="119"/>
      <c r="F29" s="59">
        <f>자재피아기본견적!B20</f>
        <v>0</v>
      </c>
      <c r="G29" s="4"/>
      <c r="H29" s="7">
        <f>ROUND(자재피아기본견적!C20*1.15,-2)</f>
        <v>0</v>
      </c>
      <c r="I29" s="104">
        <f t="shared" si="2"/>
        <v>0</v>
      </c>
      <c r="J29" s="105"/>
      <c r="K29" s="104">
        <f t="shared" si="3"/>
        <v>0</v>
      </c>
      <c r="L29" s="105"/>
      <c r="M29" s="15"/>
    </row>
    <row r="30" spans="1:13" ht="24.95" customHeight="1">
      <c r="A30" s="14">
        <v>20</v>
      </c>
      <c r="B30" s="117"/>
      <c r="C30" s="118"/>
      <c r="D30" s="118"/>
      <c r="E30" s="119"/>
      <c r="F30" s="59">
        <f>자재피아기본견적!B21</f>
        <v>0</v>
      </c>
      <c r="G30" s="4"/>
      <c r="H30" s="7">
        <f>ROUND(자재피아기본견적!C21*1.15,-2)</f>
        <v>0</v>
      </c>
      <c r="I30" s="104">
        <f t="shared" si="2"/>
        <v>0</v>
      </c>
      <c r="J30" s="105"/>
      <c r="K30" s="104">
        <f t="shared" si="3"/>
        <v>0</v>
      </c>
      <c r="L30" s="105"/>
      <c r="M30" s="15"/>
    </row>
    <row r="31" spans="1:13" ht="24.95" customHeight="1">
      <c r="A31" s="12">
        <v>21</v>
      </c>
      <c r="B31" s="117"/>
      <c r="C31" s="118"/>
      <c r="D31" s="118"/>
      <c r="E31" s="119"/>
      <c r="F31" s="59">
        <f>자재피아기본견적!B22</f>
        <v>0</v>
      </c>
      <c r="G31" s="4"/>
      <c r="H31" s="7">
        <f>ROUND(자재피아기본견적!C22*1.15,-2)</f>
        <v>0</v>
      </c>
      <c r="I31" s="104">
        <f t="shared" si="2"/>
        <v>0</v>
      </c>
      <c r="J31" s="105"/>
      <c r="K31" s="104">
        <f t="shared" si="3"/>
        <v>0</v>
      </c>
      <c r="L31" s="105"/>
      <c r="M31" s="15"/>
    </row>
    <row r="32" spans="1:13" ht="24.95" customHeight="1">
      <c r="A32" s="14">
        <v>22</v>
      </c>
      <c r="B32" s="117"/>
      <c r="C32" s="118"/>
      <c r="D32" s="118"/>
      <c r="E32" s="119"/>
      <c r="F32" s="59">
        <f>자재피아기본견적!B23</f>
        <v>0</v>
      </c>
      <c r="G32" s="4"/>
      <c r="H32" s="7">
        <f>ROUND(자재피아기본견적!C23*1.15,-2)</f>
        <v>0</v>
      </c>
      <c r="I32" s="104">
        <f t="shared" si="2"/>
        <v>0</v>
      </c>
      <c r="J32" s="105"/>
      <c r="K32" s="104">
        <f t="shared" si="3"/>
        <v>0</v>
      </c>
      <c r="L32" s="105"/>
      <c r="M32" s="15"/>
    </row>
    <row r="33" spans="1:13" ht="24.95" customHeight="1">
      <c r="A33" s="14">
        <v>23</v>
      </c>
      <c r="B33" s="123"/>
      <c r="C33" s="123"/>
      <c r="D33" s="123"/>
      <c r="E33" s="123"/>
      <c r="F33" s="59">
        <f>자재피아기본견적!B24</f>
        <v>0</v>
      </c>
      <c r="G33" s="4"/>
      <c r="H33" s="7">
        <f>ROUND(자재피아기본견적!C23*1.15,-2)</f>
        <v>0</v>
      </c>
      <c r="I33" s="104">
        <f t="shared" si="2"/>
        <v>0</v>
      </c>
      <c r="J33" s="105"/>
      <c r="K33" s="104">
        <f t="shared" si="3"/>
        <v>0</v>
      </c>
      <c r="L33" s="105"/>
      <c r="M33" s="15"/>
    </row>
    <row r="34" spans="1:13" ht="24.95" customHeight="1">
      <c r="A34" s="120" t="s">
        <v>19</v>
      </c>
      <c r="B34" s="121"/>
      <c r="C34" s="121"/>
      <c r="D34" s="121"/>
      <c r="E34" s="122"/>
      <c r="F34" s="18"/>
      <c r="G34" s="13"/>
      <c r="H34" s="19"/>
      <c r="I34" s="104">
        <f>SUM(I11:J33)</f>
        <v>1561900</v>
      </c>
      <c r="J34" s="105"/>
      <c r="K34" s="104">
        <f t="shared" si="3"/>
        <v>156190</v>
      </c>
      <c r="L34" s="105"/>
      <c r="M34" s="20"/>
    </row>
    <row r="35" spans="1:13" ht="16.5" customHeight="1">
      <c r="A35" s="106" t="s">
        <v>20</v>
      </c>
      <c r="B35" s="107"/>
      <c r="C35" s="107"/>
      <c r="D35" s="107"/>
      <c r="E35" s="107"/>
      <c r="F35" s="107"/>
      <c r="G35" s="107"/>
      <c r="H35" s="107"/>
      <c r="I35" s="107"/>
      <c r="J35" s="107"/>
      <c r="K35" s="107"/>
      <c r="L35" s="107"/>
      <c r="M35" s="108"/>
    </row>
    <row r="36" spans="1:13" ht="16.5" customHeight="1">
      <c r="A36" s="98" t="s">
        <v>21</v>
      </c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100"/>
    </row>
    <row r="37" spans="1:13" ht="17.25" thickBot="1">
      <c r="A37" s="101"/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3"/>
    </row>
    <row r="38" spans="1:13" ht="17.25" thickTop="1"/>
  </sheetData>
  <mergeCells count="103">
    <mergeCell ref="A34:E34"/>
    <mergeCell ref="B22:E22"/>
    <mergeCell ref="B23:E23"/>
    <mergeCell ref="B24:E24"/>
    <mergeCell ref="B25:E25"/>
    <mergeCell ref="B26:E26"/>
    <mergeCell ref="B27:E27"/>
    <mergeCell ref="B28:E28"/>
    <mergeCell ref="B29:E29"/>
    <mergeCell ref="B30:E30"/>
    <mergeCell ref="B31:E31"/>
    <mergeCell ref="B32:E32"/>
    <mergeCell ref="B33:E33"/>
    <mergeCell ref="I28:J28"/>
    <mergeCell ref="K28:L28"/>
    <mergeCell ref="K26:L26"/>
    <mergeCell ref="I33:J33"/>
    <mergeCell ref="K33:L33"/>
    <mergeCell ref="I31:J31"/>
    <mergeCell ref="K31:L31"/>
    <mergeCell ref="I32:J32"/>
    <mergeCell ref="K32:L32"/>
    <mergeCell ref="K16:L16"/>
    <mergeCell ref="I17:J17"/>
    <mergeCell ref="I15:J15"/>
    <mergeCell ref="B20:E20"/>
    <mergeCell ref="B21:E21"/>
    <mergeCell ref="I14:J14"/>
    <mergeCell ref="I10:J10"/>
    <mergeCell ref="K10:L10"/>
    <mergeCell ref="I23:J23"/>
    <mergeCell ref="K23:L23"/>
    <mergeCell ref="K17:L17"/>
    <mergeCell ref="I18:J18"/>
    <mergeCell ref="K18:L18"/>
    <mergeCell ref="K15:L15"/>
    <mergeCell ref="I16:J16"/>
    <mergeCell ref="B11:E11"/>
    <mergeCell ref="B12:E12"/>
    <mergeCell ref="B13:E13"/>
    <mergeCell ref="B14:E14"/>
    <mergeCell ref="B15:E15"/>
    <mergeCell ref="B16:E16"/>
    <mergeCell ref="B17:E17"/>
    <mergeCell ref="B18:E18"/>
    <mergeCell ref="B19:E19"/>
    <mergeCell ref="A9:D9"/>
    <mergeCell ref="F9:I9"/>
    <mergeCell ref="I13:J13"/>
    <mergeCell ref="K13:L13"/>
    <mergeCell ref="K14:L14"/>
    <mergeCell ref="J9:M9"/>
    <mergeCell ref="I11:J11"/>
    <mergeCell ref="K11:L11"/>
    <mergeCell ref="I12:J12"/>
    <mergeCell ref="K12:L12"/>
    <mergeCell ref="B10:E10"/>
    <mergeCell ref="A36:M36"/>
    <mergeCell ref="A37:M37"/>
    <mergeCell ref="I34:J34"/>
    <mergeCell ref="K34:L34"/>
    <mergeCell ref="A35:M35"/>
    <mergeCell ref="K19:L19"/>
    <mergeCell ref="I20:J20"/>
    <mergeCell ref="K20:L20"/>
    <mergeCell ref="I19:J19"/>
    <mergeCell ref="I21:J21"/>
    <mergeCell ref="K21:L21"/>
    <mergeCell ref="I22:J22"/>
    <mergeCell ref="K22:L22"/>
    <mergeCell ref="I26:J26"/>
    <mergeCell ref="I25:J25"/>
    <mergeCell ref="K25:L25"/>
    <mergeCell ref="I24:J24"/>
    <mergeCell ref="K24:L24"/>
    <mergeCell ref="I29:J29"/>
    <mergeCell ref="K29:L29"/>
    <mergeCell ref="I30:J30"/>
    <mergeCell ref="K30:L30"/>
    <mergeCell ref="I27:J27"/>
    <mergeCell ref="K27:L27"/>
    <mergeCell ref="I6:M6"/>
    <mergeCell ref="A7:A8"/>
    <mergeCell ref="E7:E8"/>
    <mergeCell ref="J7:K7"/>
    <mergeCell ref="L7:M7"/>
    <mergeCell ref="I8:M8"/>
    <mergeCell ref="F6:G6"/>
    <mergeCell ref="F7:G7"/>
    <mergeCell ref="F8:G8"/>
    <mergeCell ref="B7:C8"/>
    <mergeCell ref="B6:D6"/>
    <mergeCell ref="B4:D5"/>
    <mergeCell ref="I4:M4"/>
    <mergeCell ref="J5:K5"/>
    <mergeCell ref="L5:M5"/>
    <mergeCell ref="A1:M1"/>
    <mergeCell ref="A2:M2"/>
    <mergeCell ref="A3:M3"/>
    <mergeCell ref="A4:A5"/>
    <mergeCell ref="E4:E5"/>
    <mergeCell ref="F4:G4"/>
    <mergeCell ref="F5:G5"/>
  </mergeCells>
  <phoneticPr fontId="8" type="noConversion"/>
  <pageMargins left="0.7" right="0.7" top="0.75" bottom="0.75" header="0.3" footer="0.3"/>
  <pageSetup paperSize="9" scale="73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42"/>
  <sheetViews>
    <sheetView view="pageBreakPreview" topLeftCell="C1" zoomScale="85" zoomScaleNormal="100" zoomScaleSheetLayoutView="85" workbookViewId="0">
      <selection activeCell="D16" sqref="D16:O20"/>
    </sheetView>
  </sheetViews>
  <sheetFormatPr defaultRowHeight="16.5"/>
  <cols>
    <col min="1" max="1" width="0.875" style="25" hidden="1" customWidth="1"/>
    <col min="2" max="2" width="0.5" style="25" hidden="1" customWidth="1"/>
    <col min="3" max="4" width="4.625" style="25" customWidth="1"/>
    <col min="5" max="5" width="4.25" style="25" customWidth="1"/>
    <col min="6" max="7" width="3" style="25" customWidth="1"/>
    <col min="8" max="8" width="3.25" style="25" customWidth="1"/>
    <col min="9" max="9" width="1.5" style="25" customWidth="1"/>
    <col min="10" max="14" width="3" style="25" customWidth="1"/>
    <col min="15" max="15" width="5.75" style="25" customWidth="1"/>
    <col min="16" max="16" width="1.125" style="25" customWidth="1"/>
    <col min="17" max="17" width="2.75" style="25" customWidth="1"/>
    <col min="18" max="18" width="4.25" style="25" customWidth="1"/>
    <col min="19" max="19" width="3" style="25" customWidth="1"/>
    <col min="20" max="20" width="3.75" style="25" customWidth="1"/>
    <col min="21" max="21" width="2" style="25" customWidth="1"/>
    <col min="22" max="23" width="3" style="25" customWidth="1"/>
    <col min="24" max="24" width="1.625" style="25" customWidth="1"/>
    <col min="25" max="25" width="2.875" style="25" customWidth="1"/>
    <col min="26" max="27" width="3" style="25" customWidth="1"/>
    <col min="28" max="28" width="2.875" style="25" customWidth="1"/>
    <col min="29" max="30" width="3" style="25" customWidth="1"/>
    <col min="31" max="31" width="1.875" style="25" customWidth="1"/>
    <col min="32" max="32" width="2.5" style="25" customWidth="1"/>
    <col min="33" max="33" width="1.625" style="25" customWidth="1"/>
    <col min="34" max="34" width="9" style="25"/>
    <col min="35" max="83" width="3.125" style="25" customWidth="1"/>
    <col min="84" max="16384" width="9" style="25"/>
  </cols>
  <sheetData>
    <row r="1" spans="1:32" ht="50.25" customHeight="1" thickBot="1">
      <c r="A1" s="25" t="s">
        <v>38</v>
      </c>
      <c r="C1" s="124" t="s">
        <v>39</v>
      </c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</row>
    <row r="2" spans="1:32" ht="21.75" customHeight="1">
      <c r="C2" s="125" t="s">
        <v>40</v>
      </c>
      <c r="D2" s="128" t="s">
        <v>41</v>
      </c>
      <c r="E2" s="129"/>
      <c r="F2" s="132" t="s">
        <v>94</v>
      </c>
      <c r="G2" s="132"/>
      <c r="H2" s="132"/>
      <c r="I2" s="132"/>
      <c r="J2" s="132"/>
      <c r="K2" s="132"/>
      <c r="L2" s="132"/>
      <c r="M2" s="132"/>
      <c r="N2" s="132"/>
      <c r="O2" s="133"/>
      <c r="P2" s="26"/>
      <c r="Q2" s="27"/>
      <c r="R2" s="136" t="s">
        <v>42</v>
      </c>
      <c r="S2" s="139" t="s">
        <v>41</v>
      </c>
      <c r="T2" s="129"/>
      <c r="U2" s="140" t="s">
        <v>43</v>
      </c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2"/>
    </row>
    <row r="3" spans="1:32" ht="18" customHeight="1">
      <c r="C3" s="126"/>
      <c r="D3" s="130"/>
      <c r="E3" s="131"/>
      <c r="F3" s="134"/>
      <c r="G3" s="134"/>
      <c r="H3" s="134"/>
      <c r="I3" s="134"/>
      <c r="J3" s="134"/>
      <c r="K3" s="134"/>
      <c r="L3" s="134"/>
      <c r="M3" s="134"/>
      <c r="N3" s="134"/>
      <c r="O3" s="135"/>
      <c r="P3" s="26"/>
      <c r="Q3" s="27"/>
      <c r="R3" s="137"/>
      <c r="S3" s="143" t="s">
        <v>44</v>
      </c>
      <c r="T3" s="131"/>
      <c r="U3" s="144" t="s">
        <v>45</v>
      </c>
      <c r="V3" s="145"/>
      <c r="W3" s="145"/>
      <c r="X3" s="145"/>
      <c r="Y3" s="145"/>
      <c r="Z3" s="145"/>
      <c r="AA3" s="145"/>
      <c r="AB3" s="145"/>
      <c r="AC3" s="146" t="s">
        <v>46</v>
      </c>
      <c r="AD3" s="146"/>
      <c r="AE3" s="146"/>
      <c r="AF3" s="147"/>
    </row>
    <row r="4" spans="1:32" ht="18" customHeight="1">
      <c r="C4" s="126"/>
      <c r="D4" s="130" t="s">
        <v>47</v>
      </c>
      <c r="E4" s="131"/>
      <c r="F4" s="163"/>
      <c r="G4" s="163"/>
      <c r="H4" s="163"/>
      <c r="I4" s="163"/>
      <c r="J4" s="163"/>
      <c r="K4" s="163"/>
      <c r="L4" s="163"/>
      <c r="M4" s="163"/>
      <c r="N4" s="163"/>
      <c r="O4" s="164"/>
      <c r="P4" s="28"/>
      <c r="Q4" s="29"/>
      <c r="R4" s="137"/>
      <c r="S4" s="143" t="s">
        <v>48</v>
      </c>
      <c r="T4" s="131"/>
      <c r="U4" s="165" t="s">
        <v>92</v>
      </c>
      <c r="V4" s="165"/>
      <c r="W4" s="165"/>
      <c r="X4" s="165"/>
      <c r="Y4" s="165"/>
      <c r="Z4" s="165"/>
      <c r="AA4" s="165"/>
      <c r="AB4" s="165"/>
      <c r="AC4" s="166"/>
      <c r="AD4" s="166"/>
      <c r="AE4" s="166"/>
      <c r="AF4" s="167"/>
    </row>
    <row r="5" spans="1:32" ht="18" customHeight="1">
      <c r="C5" s="126"/>
      <c r="D5" s="130" t="s">
        <v>48</v>
      </c>
      <c r="E5" s="131"/>
      <c r="F5" s="168" t="s">
        <v>95</v>
      </c>
      <c r="G5" s="168"/>
      <c r="H5" s="168"/>
      <c r="I5" s="168"/>
      <c r="J5" s="168"/>
      <c r="K5" s="168"/>
      <c r="L5" s="168"/>
      <c r="M5" s="168"/>
      <c r="N5" s="168"/>
      <c r="O5" s="169"/>
      <c r="P5" s="30"/>
      <c r="Q5" s="29"/>
      <c r="R5" s="137"/>
      <c r="S5" s="143" t="s">
        <v>49</v>
      </c>
      <c r="T5" s="131"/>
      <c r="U5" s="165" t="s">
        <v>50</v>
      </c>
      <c r="V5" s="165"/>
      <c r="W5" s="165"/>
      <c r="X5" s="165"/>
      <c r="Y5" s="165"/>
      <c r="Z5" s="165"/>
      <c r="AA5" s="165"/>
      <c r="AB5" s="165"/>
      <c r="AC5" s="166"/>
      <c r="AD5" s="166"/>
      <c r="AE5" s="166"/>
      <c r="AF5" s="167"/>
    </row>
    <row r="6" spans="1:32" ht="18" customHeight="1" thickBot="1">
      <c r="C6" s="127"/>
      <c r="D6" s="148" t="s">
        <v>49</v>
      </c>
      <c r="E6" s="149"/>
      <c r="F6" s="150" t="s">
        <v>96</v>
      </c>
      <c r="G6" s="150"/>
      <c r="H6" s="150"/>
      <c r="I6" s="150"/>
      <c r="J6" s="150"/>
      <c r="K6" s="150"/>
      <c r="L6" s="150"/>
      <c r="M6" s="150"/>
      <c r="N6" s="150"/>
      <c r="O6" s="151"/>
      <c r="P6" s="30"/>
      <c r="Q6" s="29"/>
      <c r="R6" s="137"/>
      <c r="S6" s="143" t="s">
        <v>51</v>
      </c>
      <c r="T6" s="131"/>
      <c r="U6" s="152" t="s">
        <v>52</v>
      </c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3"/>
    </row>
    <row r="7" spans="1:32" ht="6.75" customHeight="1" thickBot="1"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R7" s="137"/>
      <c r="S7" s="143"/>
      <c r="T7" s="131"/>
      <c r="U7" s="154" t="s">
        <v>53</v>
      </c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6"/>
    </row>
    <row r="8" spans="1:32" ht="17.25" customHeight="1">
      <c r="C8" s="32" t="s">
        <v>54</v>
      </c>
      <c r="D8" s="33"/>
      <c r="E8" s="34"/>
      <c r="F8" s="160">
        <f ca="1">TODAY()</f>
        <v>46087</v>
      </c>
      <c r="G8" s="161"/>
      <c r="H8" s="161"/>
      <c r="I8" s="161"/>
      <c r="J8" s="161"/>
      <c r="K8" s="161"/>
      <c r="L8" s="161"/>
      <c r="M8" s="161"/>
      <c r="N8" s="161"/>
      <c r="O8" s="162"/>
      <c r="P8" s="35"/>
      <c r="Q8" s="31"/>
      <c r="R8" s="137"/>
      <c r="S8" s="143"/>
      <c r="T8" s="131"/>
      <c r="U8" s="157"/>
      <c r="V8" s="158"/>
      <c r="W8" s="158"/>
      <c r="X8" s="158"/>
      <c r="Y8" s="158"/>
      <c r="Z8" s="158"/>
      <c r="AA8" s="158"/>
      <c r="AB8" s="158"/>
      <c r="AC8" s="158"/>
      <c r="AD8" s="158"/>
      <c r="AE8" s="158"/>
      <c r="AF8" s="159"/>
    </row>
    <row r="9" spans="1:32" ht="18" thickBot="1">
      <c r="C9" s="179" t="s">
        <v>55</v>
      </c>
      <c r="D9" s="180"/>
      <c r="E9" s="181"/>
      <c r="F9" s="36" t="s">
        <v>56</v>
      </c>
      <c r="G9" s="37"/>
      <c r="H9" s="37"/>
      <c r="I9" s="37"/>
      <c r="J9" s="37"/>
      <c r="K9" s="37"/>
      <c r="L9" s="37"/>
      <c r="M9" s="37"/>
      <c r="N9" s="37"/>
      <c r="O9" s="38"/>
      <c r="P9" s="39"/>
      <c r="R9" s="138"/>
      <c r="S9" s="182" t="s">
        <v>47</v>
      </c>
      <c r="T9" s="183"/>
      <c r="U9" s="184" t="s">
        <v>57</v>
      </c>
      <c r="V9" s="185"/>
      <c r="W9" s="185"/>
      <c r="X9" s="185"/>
      <c r="Y9" s="185"/>
      <c r="Z9" s="185"/>
      <c r="AA9" s="185"/>
      <c r="AB9" s="186" t="s">
        <v>58</v>
      </c>
      <c r="AC9" s="187"/>
      <c r="AD9" s="187"/>
      <c r="AE9" s="187"/>
      <c r="AF9" s="188"/>
    </row>
    <row r="10" spans="1:32" ht="2.25" customHeight="1"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 spans="1:32" ht="15" customHeight="1">
      <c r="C11" s="40" t="s">
        <v>59</v>
      </c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4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 spans="1:32" ht="15" customHeight="1">
      <c r="C12" s="40" t="s">
        <v>60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 spans="1:32" ht="2.25" customHeight="1" thickBot="1"/>
    <row r="14" spans="1:32" s="46" customFormat="1" ht="16.5" customHeight="1">
      <c r="A14" s="42"/>
      <c r="B14" s="43"/>
      <c r="C14" s="44" t="s">
        <v>61</v>
      </c>
      <c r="D14" s="176" t="s">
        <v>34</v>
      </c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8"/>
      <c r="P14" s="170" t="s">
        <v>14</v>
      </c>
      <c r="Q14" s="170"/>
      <c r="R14" s="45" t="s">
        <v>62</v>
      </c>
      <c r="S14" s="170" t="s">
        <v>63</v>
      </c>
      <c r="T14" s="170"/>
      <c r="U14" s="170"/>
      <c r="V14" s="170" t="s">
        <v>64</v>
      </c>
      <c r="W14" s="170"/>
      <c r="X14" s="170"/>
      <c r="Y14" s="170"/>
      <c r="Z14" s="170" t="s">
        <v>65</v>
      </c>
      <c r="AA14" s="170"/>
      <c r="AB14" s="170"/>
      <c r="AC14" s="170" t="s">
        <v>66</v>
      </c>
      <c r="AD14" s="170"/>
      <c r="AE14" s="170"/>
      <c r="AF14" s="171"/>
    </row>
    <row r="15" spans="1:32">
      <c r="A15" s="47"/>
      <c r="C15" s="48" t="s">
        <v>67</v>
      </c>
      <c r="D15" s="189" t="str">
        <f>자재피아기본견적!A2</f>
        <v>원형오뚜기 체인걸이형/기본인쇄 [L360*H1080mm/주차금지 반사지]</v>
      </c>
      <c r="E15" s="190"/>
      <c r="F15" s="190"/>
      <c r="G15" s="190"/>
      <c r="H15" s="190"/>
      <c r="I15" s="190"/>
      <c r="J15" s="190"/>
      <c r="K15" s="190"/>
      <c r="L15" s="190"/>
      <c r="M15" s="190"/>
      <c r="N15" s="190"/>
      <c r="O15" s="191"/>
      <c r="P15" s="172"/>
      <c r="Q15" s="172"/>
      <c r="R15" s="51">
        <f>자재피아기본견적!B2</f>
        <v>10</v>
      </c>
      <c r="S15" s="173">
        <f>ROUND(자재피아기본견적!C2*1.2,-2)</f>
        <v>14400</v>
      </c>
      <c r="T15" s="173"/>
      <c r="U15" s="173"/>
      <c r="V15" s="173">
        <f t="shared" ref="V15:V20" si="0">R15*S15</f>
        <v>144000</v>
      </c>
      <c r="W15" s="173"/>
      <c r="X15" s="173"/>
      <c r="Y15" s="173"/>
      <c r="Z15" s="173">
        <f t="shared" ref="Z15:Z20" si="1">V15*0.1</f>
        <v>14400</v>
      </c>
      <c r="AA15" s="173"/>
      <c r="AB15" s="173"/>
      <c r="AC15" s="174"/>
      <c r="AD15" s="174"/>
      <c r="AE15" s="174"/>
      <c r="AF15" s="175"/>
    </row>
    <row r="16" spans="1:32">
      <c r="A16" s="47"/>
      <c r="C16" s="48" t="s">
        <v>68</v>
      </c>
      <c r="D16" s="189" t="str">
        <f>자재피아기본견적!A3</f>
        <v>칼라콘/SJ [380*380*h680]</v>
      </c>
      <c r="E16" s="190"/>
      <c r="F16" s="190"/>
      <c r="G16" s="190"/>
      <c r="H16" s="190"/>
      <c r="I16" s="190"/>
      <c r="J16" s="190"/>
      <c r="K16" s="190"/>
      <c r="L16" s="190"/>
      <c r="M16" s="190"/>
      <c r="N16" s="190"/>
      <c r="O16" s="191"/>
      <c r="P16" s="172"/>
      <c r="Q16" s="172"/>
      <c r="R16" s="51">
        <f>자재피아기본견적!B3</f>
        <v>20</v>
      </c>
      <c r="S16" s="173">
        <f>ROUND(자재피아기본견적!C3*1.2,-2)</f>
        <v>3400</v>
      </c>
      <c r="T16" s="173"/>
      <c r="U16" s="173"/>
      <c r="V16" s="173">
        <f t="shared" si="0"/>
        <v>68000</v>
      </c>
      <c r="W16" s="173"/>
      <c r="X16" s="173"/>
      <c r="Y16" s="173"/>
      <c r="Z16" s="173">
        <f t="shared" si="1"/>
        <v>6800</v>
      </c>
      <c r="AA16" s="173"/>
      <c r="AB16" s="173"/>
      <c r="AC16" s="174"/>
      <c r="AD16" s="174"/>
      <c r="AE16" s="174"/>
      <c r="AF16" s="175"/>
    </row>
    <row r="17" spans="1:32">
      <c r="A17" s="47"/>
      <c r="C17" s="48" t="s">
        <v>69</v>
      </c>
      <c r="D17" s="189" t="str">
        <f>자재피아기본견적!A4</f>
        <v>배송료</v>
      </c>
      <c r="E17" s="190"/>
      <c r="F17" s="190"/>
      <c r="G17" s="190"/>
      <c r="H17" s="190"/>
      <c r="I17" s="190"/>
      <c r="J17" s="190"/>
      <c r="K17" s="190"/>
      <c r="L17" s="190"/>
      <c r="M17" s="190"/>
      <c r="N17" s="190"/>
      <c r="O17" s="191"/>
      <c r="P17" s="172"/>
      <c r="Q17" s="172"/>
      <c r="R17" s="51">
        <f>자재피아기본견적!B4</f>
        <v>1</v>
      </c>
      <c r="S17" s="173">
        <f>ROUND(자재피아기본견적!C4*1.2,-2)</f>
        <v>93600</v>
      </c>
      <c r="T17" s="173"/>
      <c r="U17" s="173"/>
      <c r="V17" s="173">
        <f t="shared" si="0"/>
        <v>93600</v>
      </c>
      <c r="W17" s="173"/>
      <c r="X17" s="173"/>
      <c r="Y17" s="173"/>
      <c r="Z17" s="173">
        <f t="shared" si="1"/>
        <v>9360</v>
      </c>
      <c r="AA17" s="173"/>
      <c r="AB17" s="173"/>
      <c r="AC17" s="174"/>
      <c r="AD17" s="174"/>
      <c r="AE17" s="174"/>
      <c r="AF17" s="175"/>
    </row>
    <row r="18" spans="1:32">
      <c r="A18" s="47"/>
      <c r="C18" s="48" t="s">
        <v>70</v>
      </c>
      <c r="D18" s="189" t="str">
        <f>자재피아기본견적!A5</f>
        <v>나눔테크 심장충격기 (연습용) [NT-381.CT]</v>
      </c>
      <c r="E18" s="190"/>
      <c r="F18" s="190"/>
      <c r="G18" s="190"/>
      <c r="H18" s="190"/>
      <c r="I18" s="190"/>
      <c r="J18" s="190"/>
      <c r="K18" s="190"/>
      <c r="L18" s="190"/>
      <c r="M18" s="190"/>
      <c r="N18" s="190"/>
      <c r="O18" s="191"/>
      <c r="P18" s="172"/>
      <c r="Q18" s="172"/>
      <c r="R18" s="51">
        <f>자재피아기본견적!B5</f>
        <v>1</v>
      </c>
      <c r="S18" s="173">
        <f>ROUND(자재피아기본견적!C5*1.2,-2)</f>
        <v>600000</v>
      </c>
      <c r="T18" s="173"/>
      <c r="U18" s="173"/>
      <c r="V18" s="173">
        <f t="shared" si="0"/>
        <v>600000</v>
      </c>
      <c r="W18" s="173"/>
      <c r="X18" s="173"/>
      <c r="Y18" s="173"/>
      <c r="Z18" s="173">
        <f t="shared" si="1"/>
        <v>60000</v>
      </c>
      <c r="AA18" s="173"/>
      <c r="AB18" s="173"/>
      <c r="AC18" s="174"/>
      <c r="AD18" s="174"/>
      <c r="AE18" s="174"/>
      <c r="AF18" s="175"/>
    </row>
    <row r="19" spans="1:32">
      <c r="A19" s="47"/>
      <c r="C19" s="48" t="s">
        <v>71</v>
      </c>
      <c r="D19" s="189" t="str">
        <f>자재피아기본견적!A6</f>
        <v>프레스탄모니터형마네킹</v>
      </c>
      <c r="E19" s="190"/>
      <c r="F19" s="190"/>
      <c r="G19" s="190"/>
      <c r="H19" s="190"/>
      <c r="I19" s="190"/>
      <c r="J19" s="190"/>
      <c r="K19" s="190"/>
      <c r="L19" s="190"/>
      <c r="M19" s="190"/>
      <c r="N19" s="190"/>
      <c r="O19" s="191"/>
      <c r="P19" s="172"/>
      <c r="Q19" s="172"/>
      <c r="R19" s="51">
        <f>자재피아기본견적!B6</f>
        <v>1</v>
      </c>
      <c r="S19" s="173">
        <f>ROUND(자재피아기본견적!C6*1.2,-2)</f>
        <v>381800</v>
      </c>
      <c r="T19" s="173"/>
      <c r="U19" s="173"/>
      <c r="V19" s="173">
        <f t="shared" si="0"/>
        <v>381800</v>
      </c>
      <c r="W19" s="173"/>
      <c r="X19" s="173"/>
      <c r="Y19" s="173"/>
      <c r="Z19" s="173">
        <f t="shared" si="1"/>
        <v>38180</v>
      </c>
      <c r="AA19" s="173"/>
      <c r="AB19" s="173"/>
      <c r="AC19" s="174"/>
      <c r="AD19" s="174"/>
      <c r="AE19" s="174"/>
      <c r="AF19" s="175"/>
    </row>
    <row r="20" spans="1:32">
      <c r="A20" s="47"/>
      <c r="C20" s="48" t="s">
        <v>72</v>
      </c>
      <c r="D20" s="189" t="str">
        <f>자재피아기본견적!A7</f>
        <v>프레스탄일반형마네킹</v>
      </c>
      <c r="E20" s="190"/>
      <c r="F20" s="190"/>
      <c r="G20" s="190"/>
      <c r="H20" s="190"/>
      <c r="I20" s="190"/>
      <c r="J20" s="190"/>
      <c r="K20" s="190"/>
      <c r="L20" s="190"/>
      <c r="M20" s="190"/>
      <c r="N20" s="190"/>
      <c r="O20" s="191"/>
      <c r="P20" s="172"/>
      <c r="Q20" s="172"/>
      <c r="R20" s="51">
        <f>자재피아기본견적!B7</f>
        <v>1</v>
      </c>
      <c r="S20" s="173">
        <f>ROUND(자재피아기본견적!C7*1.2,-2)</f>
        <v>343600</v>
      </c>
      <c r="T20" s="173"/>
      <c r="U20" s="173"/>
      <c r="V20" s="173">
        <f t="shared" si="0"/>
        <v>343600</v>
      </c>
      <c r="W20" s="173"/>
      <c r="X20" s="173"/>
      <c r="Y20" s="173"/>
      <c r="Z20" s="173">
        <f t="shared" si="1"/>
        <v>34360</v>
      </c>
      <c r="AA20" s="173"/>
      <c r="AB20" s="173"/>
      <c r="AC20" s="174"/>
      <c r="AD20" s="174"/>
      <c r="AE20" s="174"/>
      <c r="AF20" s="175"/>
    </row>
    <row r="21" spans="1:32">
      <c r="A21" s="47"/>
      <c r="C21" s="48" t="s">
        <v>73</v>
      </c>
      <c r="D21" s="189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1"/>
      <c r="P21" s="172"/>
      <c r="Q21" s="172"/>
      <c r="R21" s="51">
        <f>자재피아기본견적!B8</f>
        <v>0</v>
      </c>
      <c r="S21" s="173">
        <f>ROUND(자재피아기본견적!C8*1.2,-2)</f>
        <v>0</v>
      </c>
      <c r="T21" s="173"/>
      <c r="U21" s="173"/>
      <c r="V21" s="173">
        <f t="shared" ref="V21:V34" si="2">R21*S21</f>
        <v>0</v>
      </c>
      <c r="W21" s="173"/>
      <c r="X21" s="173"/>
      <c r="Y21" s="173"/>
      <c r="Z21" s="173">
        <f t="shared" ref="Z21:Z34" si="3">V21*0.1</f>
        <v>0</v>
      </c>
      <c r="AA21" s="173"/>
      <c r="AB21" s="173"/>
      <c r="AC21" s="174"/>
      <c r="AD21" s="174"/>
      <c r="AE21" s="174"/>
      <c r="AF21" s="175"/>
    </row>
    <row r="22" spans="1:32" ht="17.25" customHeight="1">
      <c r="A22" s="47"/>
      <c r="C22" s="48" t="s">
        <v>74</v>
      </c>
      <c r="D22" s="189"/>
      <c r="E22" s="190"/>
      <c r="F22" s="190"/>
      <c r="G22" s="190"/>
      <c r="H22" s="190"/>
      <c r="I22" s="190"/>
      <c r="J22" s="190"/>
      <c r="K22" s="190"/>
      <c r="L22" s="190"/>
      <c r="M22" s="190"/>
      <c r="N22" s="190"/>
      <c r="O22" s="191"/>
      <c r="P22" s="172"/>
      <c r="Q22" s="172"/>
      <c r="R22" s="51">
        <f>자재피아기본견적!B9</f>
        <v>0</v>
      </c>
      <c r="S22" s="173">
        <f>ROUND(자재피아기본견적!C9*1.2,-2)</f>
        <v>0</v>
      </c>
      <c r="T22" s="173"/>
      <c r="U22" s="173"/>
      <c r="V22" s="173">
        <f t="shared" si="2"/>
        <v>0</v>
      </c>
      <c r="W22" s="173"/>
      <c r="X22" s="173"/>
      <c r="Y22" s="173"/>
      <c r="Z22" s="173">
        <f t="shared" si="3"/>
        <v>0</v>
      </c>
      <c r="AA22" s="173"/>
      <c r="AB22" s="173"/>
      <c r="AC22" s="174"/>
      <c r="AD22" s="174"/>
      <c r="AE22" s="174"/>
      <c r="AF22" s="175"/>
    </row>
    <row r="23" spans="1:32" ht="17.25" customHeight="1">
      <c r="A23" s="47"/>
      <c r="C23" s="48" t="s">
        <v>75</v>
      </c>
      <c r="D23" s="189"/>
      <c r="E23" s="190"/>
      <c r="F23" s="190"/>
      <c r="G23" s="190"/>
      <c r="H23" s="190"/>
      <c r="I23" s="190"/>
      <c r="J23" s="190"/>
      <c r="K23" s="190"/>
      <c r="L23" s="190"/>
      <c r="M23" s="190"/>
      <c r="N23" s="190"/>
      <c r="O23" s="191"/>
      <c r="P23" s="172"/>
      <c r="Q23" s="172"/>
      <c r="R23" s="51">
        <f>자재피아기본견적!B10</f>
        <v>0</v>
      </c>
      <c r="S23" s="173">
        <f>ROUND(자재피아기본견적!C10*1.2,-2)</f>
        <v>0</v>
      </c>
      <c r="T23" s="173"/>
      <c r="U23" s="173"/>
      <c r="V23" s="173">
        <f t="shared" si="2"/>
        <v>0</v>
      </c>
      <c r="W23" s="173"/>
      <c r="X23" s="173"/>
      <c r="Y23" s="173"/>
      <c r="Z23" s="173">
        <f t="shared" si="3"/>
        <v>0</v>
      </c>
      <c r="AA23" s="173"/>
      <c r="AB23" s="173"/>
      <c r="AC23" s="174"/>
      <c r="AD23" s="174"/>
      <c r="AE23" s="174"/>
      <c r="AF23" s="175"/>
    </row>
    <row r="24" spans="1:32" ht="17.25" customHeight="1">
      <c r="A24" s="47"/>
      <c r="C24" s="48" t="s">
        <v>76</v>
      </c>
      <c r="D24" s="189"/>
      <c r="E24" s="190"/>
      <c r="F24" s="190"/>
      <c r="G24" s="190"/>
      <c r="H24" s="190"/>
      <c r="I24" s="190"/>
      <c r="J24" s="190"/>
      <c r="K24" s="190"/>
      <c r="L24" s="190"/>
      <c r="M24" s="190"/>
      <c r="N24" s="190"/>
      <c r="O24" s="191"/>
      <c r="P24" s="172"/>
      <c r="Q24" s="172"/>
      <c r="R24" s="51">
        <f>자재피아기본견적!B11</f>
        <v>0</v>
      </c>
      <c r="S24" s="173">
        <f>ROUND(자재피아기본견적!C11*1.2,-2)</f>
        <v>0</v>
      </c>
      <c r="T24" s="173"/>
      <c r="U24" s="173"/>
      <c r="V24" s="173">
        <f t="shared" si="2"/>
        <v>0</v>
      </c>
      <c r="W24" s="173"/>
      <c r="X24" s="173"/>
      <c r="Y24" s="173"/>
      <c r="Z24" s="173">
        <f t="shared" si="3"/>
        <v>0</v>
      </c>
      <c r="AA24" s="173"/>
      <c r="AB24" s="173"/>
      <c r="AC24" s="174"/>
      <c r="AD24" s="174"/>
      <c r="AE24" s="174"/>
      <c r="AF24" s="175"/>
    </row>
    <row r="25" spans="1:32" ht="17.25" customHeight="1">
      <c r="A25" s="47"/>
      <c r="C25" s="48" t="s">
        <v>77</v>
      </c>
      <c r="D25" s="189"/>
      <c r="E25" s="190"/>
      <c r="F25" s="190"/>
      <c r="G25" s="190"/>
      <c r="H25" s="190"/>
      <c r="I25" s="190"/>
      <c r="J25" s="190"/>
      <c r="K25" s="190"/>
      <c r="L25" s="190"/>
      <c r="M25" s="190"/>
      <c r="N25" s="190"/>
      <c r="O25" s="191"/>
      <c r="P25" s="172"/>
      <c r="Q25" s="172"/>
      <c r="R25" s="51">
        <f>자재피아기본견적!B12</f>
        <v>0</v>
      </c>
      <c r="S25" s="173">
        <f>ROUND(자재피아기본견적!C12*1.2,-2)</f>
        <v>0</v>
      </c>
      <c r="T25" s="173"/>
      <c r="U25" s="173"/>
      <c r="V25" s="173">
        <f t="shared" si="2"/>
        <v>0</v>
      </c>
      <c r="W25" s="173"/>
      <c r="X25" s="173"/>
      <c r="Y25" s="173"/>
      <c r="Z25" s="173">
        <f t="shared" si="3"/>
        <v>0</v>
      </c>
      <c r="AA25" s="173"/>
      <c r="AB25" s="173"/>
      <c r="AC25" s="174"/>
      <c r="AD25" s="174"/>
      <c r="AE25" s="174"/>
      <c r="AF25" s="175"/>
    </row>
    <row r="26" spans="1:32" ht="17.25" customHeight="1">
      <c r="A26" s="47"/>
      <c r="C26" s="48" t="s">
        <v>78</v>
      </c>
      <c r="D26" s="189"/>
      <c r="E26" s="190"/>
      <c r="F26" s="190"/>
      <c r="G26" s="190"/>
      <c r="H26" s="190"/>
      <c r="I26" s="190"/>
      <c r="J26" s="190"/>
      <c r="K26" s="190"/>
      <c r="L26" s="190"/>
      <c r="M26" s="190"/>
      <c r="N26" s="190"/>
      <c r="O26" s="191"/>
      <c r="P26" s="172"/>
      <c r="Q26" s="172"/>
      <c r="R26" s="51">
        <f>자재피아기본견적!B13</f>
        <v>0</v>
      </c>
      <c r="S26" s="173">
        <f>ROUND(자재피아기본견적!C13*1.2,-2)</f>
        <v>0</v>
      </c>
      <c r="T26" s="173"/>
      <c r="U26" s="173"/>
      <c r="V26" s="173">
        <f t="shared" si="2"/>
        <v>0</v>
      </c>
      <c r="W26" s="173"/>
      <c r="X26" s="173"/>
      <c r="Y26" s="173"/>
      <c r="Z26" s="173">
        <f t="shared" si="3"/>
        <v>0</v>
      </c>
      <c r="AA26" s="173"/>
      <c r="AB26" s="173"/>
      <c r="AC26" s="174"/>
      <c r="AD26" s="174"/>
      <c r="AE26" s="174"/>
      <c r="AF26" s="175"/>
    </row>
    <row r="27" spans="1:32" ht="17.25" customHeight="1">
      <c r="A27" s="47"/>
      <c r="C27" s="48" t="s">
        <v>79</v>
      </c>
      <c r="D27" s="189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1"/>
      <c r="P27" s="172"/>
      <c r="Q27" s="172"/>
      <c r="R27" s="51">
        <f>자재피아기본견적!B14</f>
        <v>0</v>
      </c>
      <c r="S27" s="173">
        <f>ROUND(자재피아기본견적!C14*1.2,-2)</f>
        <v>0</v>
      </c>
      <c r="T27" s="173"/>
      <c r="U27" s="173"/>
      <c r="V27" s="173">
        <f t="shared" si="2"/>
        <v>0</v>
      </c>
      <c r="W27" s="173"/>
      <c r="X27" s="173"/>
      <c r="Y27" s="173"/>
      <c r="Z27" s="173">
        <f t="shared" si="3"/>
        <v>0</v>
      </c>
      <c r="AA27" s="173"/>
      <c r="AB27" s="173"/>
      <c r="AC27" s="174"/>
      <c r="AD27" s="174"/>
      <c r="AE27" s="174"/>
      <c r="AF27" s="175"/>
    </row>
    <row r="28" spans="1:32" ht="17.25" customHeight="1">
      <c r="A28" s="47"/>
      <c r="C28" s="48" t="s">
        <v>80</v>
      </c>
      <c r="D28" s="189"/>
      <c r="E28" s="190"/>
      <c r="F28" s="190"/>
      <c r="G28" s="190"/>
      <c r="H28" s="190"/>
      <c r="I28" s="190"/>
      <c r="J28" s="190"/>
      <c r="K28" s="190"/>
      <c r="L28" s="190"/>
      <c r="M28" s="190"/>
      <c r="N28" s="190"/>
      <c r="O28" s="191"/>
      <c r="P28" s="172"/>
      <c r="Q28" s="172"/>
      <c r="R28" s="51">
        <f>자재피아기본견적!B15</f>
        <v>0</v>
      </c>
      <c r="S28" s="173">
        <f>ROUND(자재피아기본견적!C15*1.2,-2)</f>
        <v>0</v>
      </c>
      <c r="T28" s="173"/>
      <c r="U28" s="173"/>
      <c r="V28" s="173">
        <f t="shared" si="2"/>
        <v>0</v>
      </c>
      <c r="W28" s="173"/>
      <c r="X28" s="173"/>
      <c r="Y28" s="173"/>
      <c r="Z28" s="173">
        <f t="shared" si="3"/>
        <v>0</v>
      </c>
      <c r="AA28" s="173"/>
      <c r="AB28" s="173"/>
      <c r="AC28" s="174"/>
      <c r="AD28" s="174"/>
      <c r="AE28" s="174"/>
      <c r="AF28" s="175"/>
    </row>
    <row r="29" spans="1:32" ht="17.25" customHeight="1">
      <c r="A29" s="47"/>
      <c r="C29" s="48" t="s">
        <v>81</v>
      </c>
      <c r="D29" s="192"/>
      <c r="E29" s="193"/>
      <c r="F29" s="193"/>
      <c r="G29" s="193"/>
      <c r="H29" s="193"/>
      <c r="I29" s="193"/>
      <c r="J29" s="193"/>
      <c r="K29" s="193"/>
      <c r="L29" s="193"/>
      <c r="M29" s="193"/>
      <c r="N29" s="193"/>
      <c r="O29" s="194"/>
      <c r="P29" s="172"/>
      <c r="Q29" s="172"/>
      <c r="R29" s="51">
        <f>자재피아기본견적!B16</f>
        <v>0</v>
      </c>
      <c r="S29" s="173">
        <f>ROUND(자재피아기본견적!C16*1.2,-2)</f>
        <v>0</v>
      </c>
      <c r="T29" s="173"/>
      <c r="U29" s="173"/>
      <c r="V29" s="173">
        <f t="shared" si="2"/>
        <v>0</v>
      </c>
      <c r="W29" s="173"/>
      <c r="X29" s="173"/>
      <c r="Y29" s="173"/>
      <c r="Z29" s="173">
        <f t="shared" si="3"/>
        <v>0</v>
      </c>
      <c r="AA29" s="173"/>
      <c r="AB29" s="173"/>
      <c r="AC29" s="174"/>
      <c r="AD29" s="174"/>
      <c r="AE29" s="174"/>
      <c r="AF29" s="175"/>
    </row>
    <row r="30" spans="1:32" ht="17.25" customHeight="1">
      <c r="A30" s="47"/>
      <c r="C30" s="48" t="s">
        <v>82</v>
      </c>
      <c r="D30" s="192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4"/>
      <c r="P30" s="172"/>
      <c r="Q30" s="172"/>
      <c r="R30" s="51">
        <f>자재피아기본견적!B16</f>
        <v>0</v>
      </c>
      <c r="S30" s="173">
        <f>ROUND(자재피아기본견적!C17*1.2,-2)</f>
        <v>0</v>
      </c>
      <c r="T30" s="173"/>
      <c r="U30" s="173"/>
      <c r="V30" s="173">
        <f t="shared" si="2"/>
        <v>0</v>
      </c>
      <c r="W30" s="173"/>
      <c r="X30" s="173"/>
      <c r="Y30" s="173"/>
      <c r="Z30" s="173">
        <f t="shared" si="3"/>
        <v>0</v>
      </c>
      <c r="AA30" s="173"/>
      <c r="AB30" s="173"/>
      <c r="AC30" s="174"/>
      <c r="AD30" s="174"/>
      <c r="AE30" s="174"/>
      <c r="AF30" s="175"/>
    </row>
    <row r="31" spans="1:32" ht="17.25" customHeight="1">
      <c r="A31" s="47"/>
      <c r="C31" s="48" t="s">
        <v>83</v>
      </c>
      <c r="D31" s="192"/>
      <c r="E31" s="193"/>
      <c r="F31" s="193"/>
      <c r="G31" s="193"/>
      <c r="H31" s="193"/>
      <c r="I31" s="193"/>
      <c r="J31" s="193"/>
      <c r="K31" s="193"/>
      <c r="L31" s="193"/>
      <c r="M31" s="193"/>
      <c r="N31" s="193"/>
      <c r="O31" s="194"/>
      <c r="P31" s="172"/>
      <c r="Q31" s="172"/>
      <c r="R31" s="51">
        <f>자재피아기본견적!B17</f>
        <v>0</v>
      </c>
      <c r="S31" s="173">
        <f>ROUND(자재피아기본견적!C17*1.2,-2)</f>
        <v>0</v>
      </c>
      <c r="T31" s="173"/>
      <c r="U31" s="173"/>
      <c r="V31" s="173">
        <f t="shared" si="2"/>
        <v>0</v>
      </c>
      <c r="W31" s="173"/>
      <c r="X31" s="173"/>
      <c r="Y31" s="173"/>
      <c r="Z31" s="173">
        <f t="shared" si="3"/>
        <v>0</v>
      </c>
      <c r="AA31" s="173"/>
      <c r="AB31" s="173"/>
      <c r="AC31" s="174"/>
      <c r="AD31" s="174"/>
      <c r="AE31" s="174"/>
      <c r="AF31" s="175"/>
    </row>
    <row r="32" spans="1:32" ht="17.25" customHeight="1">
      <c r="A32" s="47"/>
      <c r="C32" s="48" t="s">
        <v>84</v>
      </c>
      <c r="D32" s="192"/>
      <c r="E32" s="193"/>
      <c r="F32" s="193"/>
      <c r="G32" s="193"/>
      <c r="H32" s="193"/>
      <c r="I32" s="193"/>
      <c r="J32" s="193"/>
      <c r="K32" s="193"/>
      <c r="L32" s="193"/>
      <c r="M32" s="193"/>
      <c r="N32" s="193"/>
      <c r="O32" s="194"/>
      <c r="P32" s="172"/>
      <c r="Q32" s="172"/>
      <c r="R32" s="51">
        <f>자재피아기본견적!B18</f>
        <v>0</v>
      </c>
      <c r="S32" s="173">
        <f>ROUND(자재피아기본견적!C18*1.2,-2)</f>
        <v>0</v>
      </c>
      <c r="T32" s="173"/>
      <c r="U32" s="173"/>
      <c r="V32" s="173">
        <f t="shared" si="2"/>
        <v>0</v>
      </c>
      <c r="W32" s="173"/>
      <c r="X32" s="173"/>
      <c r="Y32" s="173"/>
      <c r="Z32" s="173">
        <f t="shared" si="3"/>
        <v>0</v>
      </c>
      <c r="AA32" s="173"/>
      <c r="AB32" s="173"/>
      <c r="AC32" s="174"/>
      <c r="AD32" s="174"/>
      <c r="AE32" s="174"/>
      <c r="AF32" s="175"/>
    </row>
    <row r="33" spans="1:32" ht="17.25" customHeight="1">
      <c r="A33" s="47"/>
      <c r="C33" s="48" t="s">
        <v>85</v>
      </c>
      <c r="D33" s="192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4"/>
      <c r="P33" s="172"/>
      <c r="Q33" s="172"/>
      <c r="R33" s="51">
        <f>자재피아기본견적!B19</f>
        <v>0</v>
      </c>
      <c r="S33" s="173">
        <f>ROUND(자재피아기본견적!C19*1.2,-2)</f>
        <v>0</v>
      </c>
      <c r="T33" s="173"/>
      <c r="U33" s="173"/>
      <c r="V33" s="173">
        <f t="shared" si="2"/>
        <v>0</v>
      </c>
      <c r="W33" s="173"/>
      <c r="X33" s="173"/>
      <c r="Y33" s="173"/>
      <c r="Z33" s="173">
        <f t="shared" si="3"/>
        <v>0</v>
      </c>
      <c r="AA33" s="173"/>
      <c r="AB33" s="173"/>
      <c r="AC33" s="174"/>
      <c r="AD33" s="174"/>
      <c r="AE33" s="174"/>
      <c r="AF33" s="175"/>
    </row>
    <row r="34" spans="1:32" ht="17.25" customHeight="1">
      <c r="A34" s="47"/>
      <c r="C34" s="48" t="s">
        <v>86</v>
      </c>
      <c r="D34" s="192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4"/>
      <c r="P34" s="172"/>
      <c r="Q34" s="172"/>
      <c r="R34" s="51">
        <f>자재피아기본견적!B20</f>
        <v>0</v>
      </c>
      <c r="S34" s="173">
        <f>ROUND(자재피아기본견적!C20*1.2,-2)</f>
        <v>0</v>
      </c>
      <c r="T34" s="173"/>
      <c r="U34" s="173"/>
      <c r="V34" s="173">
        <f t="shared" si="2"/>
        <v>0</v>
      </c>
      <c r="W34" s="173"/>
      <c r="X34" s="173"/>
      <c r="Y34" s="173"/>
      <c r="Z34" s="173">
        <f t="shared" si="3"/>
        <v>0</v>
      </c>
      <c r="AA34" s="173"/>
      <c r="AB34" s="173"/>
      <c r="AC34" s="174"/>
      <c r="AD34" s="174"/>
      <c r="AE34" s="174"/>
      <c r="AF34" s="175"/>
    </row>
    <row r="35" spans="1:32" ht="6" customHeight="1" thickBot="1"/>
    <row r="36" spans="1:32" ht="24" customHeight="1" thickTop="1" thickBot="1">
      <c r="C36" s="209" t="s">
        <v>87</v>
      </c>
      <c r="D36" s="210"/>
      <c r="E36" s="211">
        <f>SUM(V15:Y34)</f>
        <v>1631000</v>
      </c>
      <c r="F36" s="212"/>
      <c r="G36" s="212"/>
      <c r="H36" s="212"/>
      <c r="I36" s="213"/>
      <c r="J36" s="214" t="s">
        <v>65</v>
      </c>
      <c r="K36" s="215"/>
      <c r="L36" s="215"/>
      <c r="M36" s="210"/>
      <c r="N36" s="216">
        <f>E36*0.1</f>
        <v>163100</v>
      </c>
      <c r="O36" s="217"/>
      <c r="P36" s="217"/>
      <c r="Q36" s="217"/>
      <c r="R36" s="218"/>
      <c r="S36" s="219" t="s">
        <v>88</v>
      </c>
      <c r="T36" s="220"/>
      <c r="U36" s="220"/>
      <c r="V36" s="220"/>
      <c r="W36" s="220"/>
      <c r="X36" s="221"/>
      <c r="Y36" s="222">
        <f>E36+N36</f>
        <v>1794100</v>
      </c>
      <c r="Z36" s="223"/>
      <c r="AA36" s="223"/>
      <c r="AB36" s="223"/>
      <c r="AC36" s="223"/>
      <c r="AD36" s="223"/>
      <c r="AE36" s="223"/>
      <c r="AF36" s="224"/>
    </row>
    <row r="37" spans="1:32" ht="3.75" customHeight="1" thickBot="1"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50"/>
      <c r="O37" s="50"/>
      <c r="P37" s="50"/>
      <c r="Q37" s="50"/>
      <c r="R37" s="50"/>
      <c r="S37" s="50"/>
      <c r="T37" s="41"/>
      <c r="U37" s="41"/>
      <c r="V37" s="41"/>
      <c r="W37" s="41"/>
      <c r="X37" s="41"/>
      <c r="Y37" s="41"/>
      <c r="Z37" s="41"/>
      <c r="AA37" s="41"/>
      <c r="AB37" s="50"/>
      <c r="AC37" s="50"/>
      <c r="AD37" s="50"/>
      <c r="AE37" s="50"/>
    </row>
    <row r="38" spans="1:32" ht="16.5" customHeight="1" thickTop="1">
      <c r="C38" s="195" t="s">
        <v>66</v>
      </c>
      <c r="D38" s="196"/>
      <c r="E38" s="201" t="s">
        <v>89</v>
      </c>
      <c r="F38" s="201"/>
      <c r="G38" s="201"/>
      <c r="H38" s="201"/>
      <c r="I38" s="201"/>
      <c r="J38" s="201"/>
      <c r="K38" s="201"/>
      <c r="L38" s="201"/>
      <c r="M38" s="201"/>
      <c r="N38" s="201"/>
      <c r="O38" s="201"/>
      <c r="P38" s="201"/>
      <c r="Q38" s="201"/>
      <c r="R38" s="201"/>
      <c r="S38" s="201"/>
      <c r="T38" s="201"/>
      <c r="U38" s="201"/>
      <c r="V38" s="201"/>
      <c r="W38" s="201"/>
      <c r="X38" s="201"/>
      <c r="Y38" s="201"/>
      <c r="Z38" s="201"/>
      <c r="AA38" s="201"/>
      <c r="AB38" s="201"/>
      <c r="AC38" s="201"/>
      <c r="AD38" s="201"/>
      <c r="AE38" s="201"/>
      <c r="AF38" s="202"/>
    </row>
    <row r="39" spans="1:32" ht="16.5" customHeight="1">
      <c r="C39" s="197"/>
      <c r="D39" s="198"/>
      <c r="E39" s="203" t="s">
        <v>90</v>
      </c>
      <c r="F39" s="203"/>
      <c r="G39" s="203"/>
      <c r="H39" s="203"/>
      <c r="I39" s="203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4"/>
    </row>
    <row r="40" spans="1:32" ht="16.5" customHeight="1" thickBot="1">
      <c r="C40" s="199"/>
      <c r="D40" s="200"/>
      <c r="E40" s="205" t="s">
        <v>91</v>
      </c>
      <c r="F40" s="206"/>
      <c r="G40" s="206"/>
      <c r="H40" s="206"/>
      <c r="I40" s="206"/>
      <c r="J40" s="206"/>
      <c r="K40" s="206"/>
      <c r="L40" s="206"/>
      <c r="M40" s="206"/>
      <c r="N40" s="206"/>
      <c r="O40" s="206"/>
      <c r="P40" s="206"/>
      <c r="Q40" s="206"/>
      <c r="R40" s="206"/>
      <c r="S40" s="206"/>
      <c r="T40" s="206"/>
      <c r="U40" s="206"/>
      <c r="V40" s="206"/>
      <c r="W40" s="206"/>
      <c r="X40" s="206"/>
      <c r="Y40" s="206"/>
      <c r="Z40" s="206"/>
      <c r="AA40" s="206"/>
      <c r="AB40" s="206"/>
      <c r="AC40" s="206"/>
      <c r="AD40" s="206"/>
      <c r="AE40" s="206"/>
      <c r="AF40" s="207"/>
    </row>
    <row r="41" spans="1:32" ht="3" customHeight="1" thickTop="1"/>
    <row r="42" spans="1:32" ht="24" customHeight="1">
      <c r="C42" s="208" t="s">
        <v>43</v>
      </c>
      <c r="D42" s="208"/>
      <c r="E42" s="208"/>
      <c r="F42" s="208"/>
      <c r="G42" s="208"/>
      <c r="H42" s="208"/>
      <c r="I42" s="208"/>
      <c r="J42" s="208"/>
      <c r="K42" s="208"/>
      <c r="L42" s="208"/>
      <c r="M42" s="208"/>
      <c r="N42" s="208"/>
      <c r="O42" s="208"/>
      <c r="P42" s="208"/>
      <c r="Q42" s="208"/>
      <c r="R42" s="208"/>
      <c r="S42" s="208"/>
      <c r="T42" s="208"/>
      <c r="U42" s="208"/>
      <c r="V42" s="208"/>
      <c r="W42" s="208"/>
      <c r="X42" s="208"/>
      <c r="Y42" s="208"/>
      <c r="Z42" s="208"/>
      <c r="AA42" s="208"/>
      <c r="AB42" s="208"/>
      <c r="AC42" s="208"/>
      <c r="AD42" s="208"/>
      <c r="AE42" s="208"/>
      <c r="AF42" s="208"/>
    </row>
  </sheetData>
  <mergeCells count="165">
    <mergeCell ref="C38:D40"/>
    <mergeCell ref="E38:AF38"/>
    <mergeCell ref="E39:AF39"/>
    <mergeCell ref="E40:AF40"/>
    <mergeCell ref="C42:AF42"/>
    <mergeCell ref="D15:O15"/>
    <mergeCell ref="D16:O16"/>
    <mergeCell ref="D17:O17"/>
    <mergeCell ref="D18:O18"/>
    <mergeCell ref="D19:O19"/>
    <mergeCell ref="C36:D36"/>
    <mergeCell ref="E36:I36"/>
    <mergeCell ref="J36:M36"/>
    <mergeCell ref="N36:R36"/>
    <mergeCell ref="S36:X36"/>
    <mergeCell ref="Y36:AF36"/>
    <mergeCell ref="AC34:AF34"/>
    <mergeCell ref="D34:O34"/>
    <mergeCell ref="P34:Q34"/>
    <mergeCell ref="S34:U34"/>
    <mergeCell ref="V34:Y34"/>
    <mergeCell ref="Z34:AB34"/>
    <mergeCell ref="AC32:AF32"/>
    <mergeCell ref="P33:Q33"/>
    <mergeCell ref="S33:U33"/>
    <mergeCell ref="V33:Y33"/>
    <mergeCell ref="Z33:AB33"/>
    <mergeCell ref="AC33:AF33"/>
    <mergeCell ref="D32:O32"/>
    <mergeCell ref="D33:O33"/>
    <mergeCell ref="P32:Q32"/>
    <mergeCell ref="S32:U32"/>
    <mergeCell ref="V32:Y32"/>
    <mergeCell ref="Z32:AB32"/>
    <mergeCell ref="AC30:AF30"/>
    <mergeCell ref="P31:Q31"/>
    <mergeCell ref="S31:U31"/>
    <mergeCell ref="V31:Y31"/>
    <mergeCell ref="Z31:AB31"/>
    <mergeCell ref="AC31:AF31"/>
    <mergeCell ref="D30:O30"/>
    <mergeCell ref="D31:O31"/>
    <mergeCell ref="P30:Q30"/>
    <mergeCell ref="S30:U30"/>
    <mergeCell ref="V30:Y30"/>
    <mergeCell ref="Z30:AB30"/>
    <mergeCell ref="AC28:AF28"/>
    <mergeCell ref="P29:Q29"/>
    <mergeCell ref="S29:U29"/>
    <mergeCell ref="V29:Y29"/>
    <mergeCell ref="Z29:AB29"/>
    <mergeCell ref="AC29:AF29"/>
    <mergeCell ref="D28:O28"/>
    <mergeCell ref="D29:O29"/>
    <mergeCell ref="P28:Q28"/>
    <mergeCell ref="S28:U28"/>
    <mergeCell ref="V28:Y28"/>
    <mergeCell ref="Z28:AB28"/>
    <mergeCell ref="AC26:AF26"/>
    <mergeCell ref="P27:Q27"/>
    <mergeCell ref="S27:U27"/>
    <mergeCell ref="V27:Y27"/>
    <mergeCell ref="Z27:AB27"/>
    <mergeCell ref="AC27:AF27"/>
    <mergeCell ref="D26:O26"/>
    <mergeCell ref="D27:O27"/>
    <mergeCell ref="P26:Q26"/>
    <mergeCell ref="S26:U26"/>
    <mergeCell ref="V26:Y26"/>
    <mergeCell ref="Z26:AB26"/>
    <mergeCell ref="AC24:AF24"/>
    <mergeCell ref="P25:Q25"/>
    <mergeCell ref="S25:U25"/>
    <mergeCell ref="V25:Y25"/>
    <mergeCell ref="Z25:AB25"/>
    <mergeCell ref="AC25:AF25"/>
    <mergeCell ref="D24:O24"/>
    <mergeCell ref="D25:O25"/>
    <mergeCell ref="P24:Q24"/>
    <mergeCell ref="S24:U24"/>
    <mergeCell ref="V24:Y24"/>
    <mergeCell ref="Z24:AB24"/>
    <mergeCell ref="AC22:AF22"/>
    <mergeCell ref="P23:Q23"/>
    <mergeCell ref="S23:U23"/>
    <mergeCell ref="V23:Y23"/>
    <mergeCell ref="Z23:AB23"/>
    <mergeCell ref="AC23:AF23"/>
    <mergeCell ref="D22:O22"/>
    <mergeCell ref="D23:O23"/>
    <mergeCell ref="P22:Q22"/>
    <mergeCell ref="S22:U22"/>
    <mergeCell ref="V22:Y22"/>
    <mergeCell ref="Z22:AB22"/>
    <mergeCell ref="AC20:AF20"/>
    <mergeCell ref="P21:Q21"/>
    <mergeCell ref="S21:U21"/>
    <mergeCell ref="V21:Y21"/>
    <mergeCell ref="Z21:AB21"/>
    <mergeCell ref="AC21:AF21"/>
    <mergeCell ref="D20:O20"/>
    <mergeCell ref="D21:O21"/>
    <mergeCell ref="P20:Q20"/>
    <mergeCell ref="S20:U20"/>
    <mergeCell ref="V20:Y20"/>
    <mergeCell ref="Z20:AB20"/>
    <mergeCell ref="AC18:AF18"/>
    <mergeCell ref="P19:Q19"/>
    <mergeCell ref="S19:U19"/>
    <mergeCell ref="V19:Y19"/>
    <mergeCell ref="Z19:AB19"/>
    <mergeCell ref="AC19:AF19"/>
    <mergeCell ref="P18:Q18"/>
    <mergeCell ref="S18:U18"/>
    <mergeCell ref="V18:Y18"/>
    <mergeCell ref="Z18:AB18"/>
    <mergeCell ref="AC16:AF16"/>
    <mergeCell ref="P17:Q17"/>
    <mergeCell ref="S17:U17"/>
    <mergeCell ref="V17:Y17"/>
    <mergeCell ref="Z17:AB17"/>
    <mergeCell ref="AC17:AF17"/>
    <mergeCell ref="P16:Q16"/>
    <mergeCell ref="S16:U16"/>
    <mergeCell ref="V16:Y16"/>
    <mergeCell ref="Z16:AB16"/>
    <mergeCell ref="AC14:AF14"/>
    <mergeCell ref="P15:Q15"/>
    <mergeCell ref="S15:U15"/>
    <mergeCell ref="V15:Y15"/>
    <mergeCell ref="Z15:AB15"/>
    <mergeCell ref="AC15:AF15"/>
    <mergeCell ref="D14:O14"/>
    <mergeCell ref="C9:E9"/>
    <mergeCell ref="S9:T9"/>
    <mergeCell ref="U9:AA9"/>
    <mergeCell ref="AB9:AF9"/>
    <mergeCell ref="P14:Q14"/>
    <mergeCell ref="S14:U14"/>
    <mergeCell ref="V14:Y14"/>
    <mergeCell ref="Z14:AB14"/>
    <mergeCell ref="C1:AF1"/>
    <mergeCell ref="C2:C6"/>
    <mergeCell ref="D2:E3"/>
    <mergeCell ref="F2:O3"/>
    <mergeCell ref="R2:R9"/>
    <mergeCell ref="S2:T2"/>
    <mergeCell ref="U2:AF2"/>
    <mergeCell ref="S3:T3"/>
    <mergeCell ref="U3:AB3"/>
    <mergeCell ref="AC3:AF3"/>
    <mergeCell ref="D6:E6"/>
    <mergeCell ref="F6:O6"/>
    <mergeCell ref="S6:T8"/>
    <mergeCell ref="U6:AF6"/>
    <mergeCell ref="U7:AF8"/>
    <mergeCell ref="F8:O8"/>
    <mergeCell ref="D4:E4"/>
    <mergeCell ref="F4:O4"/>
    <mergeCell ref="S4:T4"/>
    <mergeCell ref="U4:AF4"/>
    <mergeCell ref="D5:E5"/>
    <mergeCell ref="F5:O5"/>
    <mergeCell ref="S5:T5"/>
    <mergeCell ref="U5:AF5"/>
  </mergeCells>
  <phoneticPr fontId="8" type="noConversion"/>
  <hyperlinks>
    <hyperlink ref="E40" r:id="rId1" display="www.hk4.co.kr "/>
  </hyperlinks>
  <pageMargins left="0.7" right="0.7" top="0.75" bottom="0.75" header="0.3" footer="0.3"/>
  <pageSetup paperSize="9" scale="87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자재피아기본견적</vt:lpstr>
      <vt:lpstr>거성</vt:lpstr>
      <vt:lpstr>해광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김원규</dc:creator>
  <cp:lastModifiedBy>자재피아</cp:lastModifiedBy>
  <cp:lastPrinted>2026-03-06T04:33:06Z</cp:lastPrinted>
  <dcterms:created xsi:type="dcterms:W3CDTF">2018-06-14T07:39:14Z</dcterms:created>
  <dcterms:modified xsi:type="dcterms:W3CDTF">2026-03-06T09:14:53Z</dcterms:modified>
</cp:coreProperties>
</file>